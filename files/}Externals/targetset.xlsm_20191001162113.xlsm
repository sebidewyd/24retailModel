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ustomProperty1.bin" ContentType="application/vnd.openxmlformats-officedocument.spreadsheetml.customProperty"/>
  <Override PartName="/xl/drawings/drawing1.xml" ContentType="application/vnd.openxmlformats-officedocument.drawing+xml"/>
  <Override PartName="/xl/customProperty2.bin" ContentType="application/vnd.openxmlformats-officedocument.spreadsheetml.customProperty"/>
  <Override PartName="/xl/drawings/drawing2.xml" ContentType="application/vnd.openxmlformats-officedocument.drawing+xml"/>
  <Override PartName="/xl/customProperty3.bin" ContentType="application/vnd.openxmlformats-officedocument.spreadsheetml.customProperty"/>
  <Override PartName="/xl/drawings/drawing3.xml" ContentType="application/vnd.openxmlformats-officedocument.drawing+xml"/>
  <Override PartName="/xl/drawings/drawing4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1929" codeName="{1AED2BDD-1FA3-CEF2-32D4-FBADEFEB71E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RebeccaHansen\Box Sync\Reference Doc\Cafe\24retail\"/>
    </mc:Choice>
  </mc:AlternateContent>
  <xr:revisionPtr revIDLastSave="0" documentId="13_ncr:1_{BE600DD7-27C7-42D6-9829-9711748A4C17}" xr6:coauthVersionLast="44" xr6:coauthVersionMax="44" xr10:uidLastSave="{00000000-0000-0000-0000-000000000000}"/>
  <bookViews>
    <workbookView xWindow="28692" yWindow="-108" windowWidth="25416" windowHeight="15372" xr2:uid="{00000000-000D-0000-FFFF-FFFF00000000}"/>
  </bookViews>
  <sheets>
    <sheet name="TgtSet" sheetId="4" r:id="rId1"/>
    <sheet name="TgtByMonth" sheetId="5" r:id="rId2"/>
    <sheet name="TgtByAcct" sheetId="9" r:id="rId3"/>
    <sheet name="PLSummary" sheetId="6" r:id="rId4"/>
    <sheet name="Lookup" sheetId="7" state="hidden" r:id="rId5"/>
    <sheet name="Sheet1" sheetId="8" state="hidden" r:id="rId6"/>
  </sheets>
  <definedNames>
    <definedName name="FcstMethods">Lookup!$G$2:$G$4</definedName>
    <definedName name="ID" localSheetId="4" hidden="1">"3effc82b-d79c-4b01-afc4-58d25360906f"</definedName>
    <definedName name="ID" localSheetId="3" hidden="1">"3bff7222-9f71-41d8-860b-0a02a7739189"</definedName>
    <definedName name="ID" localSheetId="5" hidden="1">"724ffba1-f29a-49e0-b303-4adef0e61ed8"</definedName>
    <definedName name="ID" localSheetId="2" hidden="1">"14edde6f-3616-4831-b169-cd91796b5cdb"</definedName>
    <definedName name="ID" localSheetId="1" hidden="1">"160709fd-316a-4d89-b65b-eb34addcfcbd"</definedName>
    <definedName name="ID" localSheetId="0" hidden="1">"c48e2665-950e-4890-b9d6-9c45f68b9456"</definedName>
    <definedName name="OpExSubsets">Lookup!$A$2:$A$10</definedName>
    <definedName name="Org">Lookup!$J$2:$J$3</definedName>
    <definedName name="pFromVersion">TgtSet!$H$13</definedName>
    <definedName name="pToVersion">TgtSet!$E$15</definedName>
    <definedName name="RowFilter">Lookup!$B$2:$B$3</definedName>
    <definedName name="SelectYesNo">Lookup!$D$2:$D$3</definedName>
    <definedName name="TM1REBUILDOPTION">1</definedName>
    <definedName name="TM1RPTDATARNG1" localSheetId="5">Sheet1!$18:$32</definedName>
    <definedName name="TM1RPTDATARNG1" localSheetId="2">TgtByAcct!$17:$21</definedName>
    <definedName name="TM1RPTDATARNG1" localSheetId="0">TgtSet!$17:$29</definedName>
    <definedName name="TM1RPTDATARNG3" localSheetId="1">TgtByMonth!$16:$28</definedName>
    <definedName name="TM1RPTFMTIDCOL" localSheetId="5">Sheet1!$A$1:$A$8</definedName>
    <definedName name="TM1RPTFMTIDCOL" localSheetId="2">TgtByAcct!$A$1:$A$8</definedName>
    <definedName name="TM1RPTFMTIDCOL" localSheetId="1">TgtByMonth!$A$1:$A$8</definedName>
    <definedName name="TM1RPTFMTIDCOL" localSheetId="0">TgtSet!$A$1:$A$8</definedName>
    <definedName name="TM1RPTFMTRNG" localSheetId="5">Sheet1!$B$1:$O$8</definedName>
    <definedName name="TM1RPTFMTRNG" localSheetId="2">TgtByAcct!$C$1:$H$8</definedName>
    <definedName name="TM1RPTFMTRNG" localSheetId="1">TgtByMonth!$C$1:$P$8</definedName>
    <definedName name="TM1RPTFMTRNG" localSheetId="0">TgtSet!$C$1:$H$8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G8" i="5" l="1"/>
  <c r="G8" i="4"/>
  <c r="H8" i="5"/>
  <c r="F8" i="4"/>
  <c r="A5" i="9"/>
  <c r="A4" i="9"/>
  <c r="A3" i="9"/>
  <c r="A2" i="9"/>
  <c r="A5" i="8"/>
  <c r="A4" i="8"/>
  <c r="A3" i="8"/>
  <c r="A2" i="8"/>
  <c r="A5" i="5"/>
  <c r="A4" i="5"/>
  <c r="A3" i="5"/>
  <c r="A2" i="5"/>
  <c r="A5" i="4"/>
  <c r="A4" i="4"/>
  <c r="A3" i="4"/>
  <c r="A2" i="4"/>
  <c r="C13" i="9"/>
  <c r="E13" i="9"/>
  <c r="D13" i="9"/>
  <c r="F13" i="9"/>
  <c r="A22" i="5"/>
  <c r="A21" i="8"/>
  <c r="C13" i="8"/>
  <c r="A22" i="4"/>
  <c r="A18" i="5"/>
  <c r="C13" i="5"/>
  <c r="A17" i="9"/>
  <c r="A25" i="4"/>
  <c r="A21" i="5"/>
  <c r="H13" i="5"/>
  <c r="A18" i="4"/>
  <c r="A29" i="4"/>
  <c r="D13" i="5"/>
  <c r="A32" i="8"/>
  <c r="A27" i="4"/>
  <c r="E5" i="6"/>
  <c r="A18" i="8"/>
  <c r="A24" i="4"/>
  <c r="E13" i="4"/>
  <c r="C12" i="8"/>
  <c r="A21" i="4"/>
  <c r="C13" i="4"/>
  <c r="A24" i="8"/>
  <c r="A19" i="4"/>
  <c r="A28" i="5"/>
  <c r="C14" i="8"/>
  <c r="A27" i="8"/>
  <c r="F13" i="5"/>
  <c r="A16" i="5"/>
  <c r="A25" i="8"/>
  <c r="A18" i="9"/>
  <c r="A23" i="8"/>
  <c r="D5" i="6"/>
  <c r="A23" i="4"/>
  <c r="F13" i="4"/>
  <c r="A19" i="8"/>
  <c r="D13" i="4"/>
  <c r="A31" i="8"/>
  <c r="A25" i="5"/>
  <c r="A20" i="5"/>
  <c r="B5" i="6"/>
  <c r="A28" i="8"/>
  <c r="A20" i="9"/>
  <c r="A26" i="8"/>
  <c r="A23" i="5"/>
  <c r="A17" i="5"/>
  <c r="A24" i="5"/>
  <c r="A26" i="5"/>
  <c r="A17" i="4"/>
  <c r="A30" i="8"/>
  <c r="H13" i="4"/>
  <c r="A20" i="8"/>
  <c r="A27" i="5"/>
  <c r="A19" i="9"/>
  <c r="A26" i="4"/>
  <c r="A28" i="4"/>
  <c r="G5" i="6"/>
  <c r="A22" i="8"/>
  <c r="A29" i="8"/>
  <c r="A21" i="9"/>
  <c r="A19" i="5"/>
  <c r="C11" i="8"/>
  <c r="A20" i="4"/>
  <c r="D1" i="6" l="1"/>
  <c r="B9" i="8"/>
  <c r="G12" i="6"/>
  <c r="D11" i="6"/>
  <c r="G15" i="6"/>
  <c r="F10" i="6"/>
  <c r="F22" i="6"/>
  <c r="D19" i="6"/>
  <c r="E23" i="6"/>
  <c r="D23" i="6"/>
  <c r="G22" i="6"/>
  <c r="G17" i="6"/>
  <c r="F11" i="6"/>
  <c r="D20" i="6"/>
  <c r="F14" i="6"/>
  <c r="G10" i="6"/>
  <c r="G18" i="6"/>
  <c r="G19" i="6"/>
  <c r="E19" i="6"/>
  <c r="C9" i="9"/>
  <c r="G21" i="6"/>
  <c r="D14" i="6"/>
  <c r="E11" i="6"/>
  <c r="F23" i="6"/>
  <c r="D12" i="6"/>
  <c r="D16" i="6"/>
  <c r="D17" i="6"/>
  <c r="E12" i="6"/>
  <c r="E15" i="6"/>
  <c r="E20" i="6"/>
  <c r="G16" i="6"/>
  <c r="C9" i="4"/>
  <c r="C17" i="4" s="1"/>
  <c r="E14" i="6"/>
  <c r="E10" i="6"/>
  <c r="F19" i="6"/>
  <c r="G11" i="6"/>
  <c r="D22" i="6"/>
  <c r="F16" i="6"/>
  <c r="F12" i="6"/>
  <c r="D10" i="6"/>
  <c r="C9" i="5"/>
  <c r="C16" i="5" s="1"/>
  <c r="F15" i="6"/>
  <c r="D18" i="6"/>
  <c r="E16" i="6"/>
  <c r="D21" i="6"/>
  <c r="E18" i="6"/>
  <c r="G20" i="6"/>
  <c r="E17" i="6"/>
  <c r="E22" i="6"/>
  <c r="F17" i="6"/>
  <c r="G23" i="6"/>
  <c r="F21" i="6"/>
  <c r="G14" i="6"/>
  <c r="F20" i="6"/>
  <c r="D15" i="6"/>
  <c r="E21" i="6"/>
  <c r="F18" i="6"/>
  <c r="K24" i="8"/>
  <c r="N23" i="8"/>
  <c r="I21" i="8"/>
  <c r="E20" i="8"/>
  <c r="E27" i="8"/>
  <c r="O24" i="8"/>
  <c r="G25" i="8"/>
  <c r="I20" i="8"/>
  <c r="G30" i="8"/>
  <c r="L24" i="8"/>
  <c r="D26" i="8"/>
  <c r="O28" i="8"/>
  <c r="C24" i="8"/>
  <c r="D19" i="8"/>
  <c r="K22" i="8"/>
  <c r="L30" i="8"/>
  <c r="M25" i="8"/>
  <c r="N20" i="8"/>
  <c r="H29" i="8"/>
  <c r="H32" i="8"/>
  <c r="I27" i="8"/>
  <c r="J22" i="8"/>
  <c r="I23" i="8"/>
  <c r="F29" i="8"/>
  <c r="G24" i="8"/>
  <c r="H19" i="8"/>
  <c r="J26" i="8"/>
  <c r="D21" i="8"/>
  <c r="C26" i="8"/>
  <c r="O30" i="8"/>
  <c r="O25" i="8"/>
  <c r="M21" i="8"/>
  <c r="L26" i="8"/>
  <c r="K31" i="8"/>
  <c r="J29" i="8"/>
  <c r="L19" i="8"/>
  <c r="H26" i="8"/>
  <c r="K30" i="8"/>
  <c r="D28" i="8"/>
  <c r="N29" i="8"/>
  <c r="C20" i="8"/>
  <c r="H25" i="8"/>
  <c r="E21" i="8"/>
  <c r="C31" i="8"/>
  <c r="G28" i="8"/>
  <c r="H23" i="8"/>
  <c r="H21" i="8"/>
  <c r="D30" i="8"/>
  <c r="E25" i="8"/>
  <c r="F20" i="8"/>
  <c r="M28" i="8"/>
  <c r="M31" i="8"/>
  <c r="N26" i="8"/>
  <c r="O21" i="8"/>
  <c r="C21" i="8"/>
  <c r="K28" i="8"/>
  <c r="L23" i="8"/>
  <c r="N30" i="8"/>
  <c r="H28" i="8"/>
  <c r="L21" i="8"/>
  <c r="K26" i="8"/>
  <c r="J31" i="8"/>
  <c r="C29" i="8"/>
  <c r="H22" i="8"/>
  <c r="G27" i="8"/>
  <c r="F32" i="8"/>
  <c r="G31" i="8"/>
  <c r="E23" i="8"/>
  <c r="K32" i="8"/>
  <c r="L27" i="8"/>
  <c r="M22" i="8"/>
  <c r="C30" i="8"/>
  <c r="M20" i="8"/>
  <c r="I29" i="8"/>
  <c r="J24" i="8"/>
  <c r="K19" i="8"/>
  <c r="J27" i="8"/>
  <c r="E31" i="8"/>
  <c r="F26" i="8"/>
  <c r="G21" i="8"/>
  <c r="O32" i="8"/>
  <c r="C28" i="8"/>
  <c r="D23" i="8"/>
  <c r="M27" i="8"/>
  <c r="F30" i="8"/>
  <c r="G22" i="8"/>
  <c r="F27" i="8"/>
  <c r="E32" i="8"/>
  <c r="I31" i="8"/>
  <c r="C23" i="8"/>
  <c r="O27" i="8"/>
  <c r="N32" i="8"/>
  <c r="K23" i="8"/>
  <c r="J28" i="8"/>
  <c r="D27" i="8"/>
  <c r="E28" i="8"/>
  <c r="N28" i="8"/>
  <c r="C19" i="8"/>
  <c r="J30" i="8"/>
  <c r="K25" i="8"/>
  <c r="L20" i="8"/>
  <c r="G32" i="8"/>
  <c r="H27" i="8"/>
  <c r="D24" i="8"/>
  <c r="D32" i="8"/>
  <c r="O22" i="8"/>
  <c r="N27" i="8"/>
  <c r="M32" i="8"/>
  <c r="H31" i="8"/>
  <c r="I26" i="8"/>
  <c r="J21" i="8"/>
  <c r="O26" i="8"/>
  <c r="B18" i="8"/>
  <c r="F28" i="8"/>
  <c r="G23" i="8"/>
  <c r="I32" i="8"/>
  <c r="D25" i="8"/>
  <c r="O29" i="8"/>
  <c r="C25" i="8"/>
  <c r="D20" i="8"/>
  <c r="L31" i="8"/>
  <c r="M26" i="8"/>
  <c r="N21" i="8"/>
  <c r="K21" i="8"/>
  <c r="L32" i="8"/>
  <c r="J23" i="8"/>
  <c r="I28" i="8"/>
  <c r="G19" i="8"/>
  <c r="F24" i="8"/>
  <c r="E29" i="8"/>
  <c r="C32" i="8"/>
  <c r="E22" i="8"/>
  <c r="J19" i="8"/>
  <c r="O23" i="8"/>
  <c r="G26" i="8"/>
  <c r="I22" i="8"/>
  <c r="F18" i="8"/>
  <c r="M30" i="8"/>
  <c r="N25" i="8"/>
  <c r="O20" i="8"/>
  <c r="L25" i="8"/>
  <c r="J32" i="8"/>
  <c r="K27" i="8"/>
  <c r="L22" i="8"/>
  <c r="N31" i="8"/>
  <c r="F23" i="8"/>
  <c r="G29" i="8"/>
  <c r="H24" i="8"/>
  <c r="I19" i="8"/>
  <c r="D31" i="8"/>
  <c r="E26" i="8"/>
  <c r="F21" i="8"/>
  <c r="E19" i="8"/>
  <c r="H20" i="8"/>
  <c r="F19" i="8"/>
  <c r="E24" i="8"/>
  <c r="D29" i="8"/>
  <c r="M19" i="8"/>
  <c r="O19" i="8"/>
  <c r="N24" i="8"/>
  <c r="M29" i="8"/>
  <c r="D18" i="8"/>
  <c r="N18" i="8"/>
  <c r="E30" i="8"/>
  <c r="F25" i="8"/>
  <c r="G20" i="8"/>
  <c r="I24" i="8"/>
  <c r="O31" i="8"/>
  <c r="C27" i="8"/>
  <c r="D22" i="8"/>
  <c r="F31" i="8"/>
  <c r="C22" i="8"/>
  <c r="L28" i="8"/>
  <c r="M23" i="8"/>
  <c r="K29" i="8"/>
  <c r="I30" i="8"/>
  <c r="J25" i="8"/>
  <c r="K20" i="8"/>
  <c r="F22" i="8"/>
  <c r="N19" i="8"/>
  <c r="M24" i="8"/>
  <c r="L29" i="8"/>
  <c r="N22" i="8"/>
  <c r="J20" i="8"/>
  <c r="I25" i="8"/>
  <c r="H30" i="8"/>
  <c r="F19" i="9"/>
  <c r="H19" i="9"/>
  <c r="H20" i="9"/>
  <c r="F20" i="9"/>
  <c r="F21" i="9"/>
  <c r="E18" i="9"/>
  <c r="E19" i="9"/>
  <c r="H18" i="9"/>
  <c r="D19" i="9"/>
  <c r="F18" i="9"/>
  <c r="G18" i="9"/>
  <c r="D21" i="9"/>
  <c r="E20" i="9"/>
  <c r="E21" i="9"/>
  <c r="D20" i="9"/>
  <c r="H21" i="9"/>
  <c r="G21" i="9"/>
  <c r="G19" i="9"/>
  <c r="C17" i="9"/>
  <c r="D18" i="9"/>
  <c r="G20" i="9"/>
  <c r="F26" i="4"/>
  <c r="G24" i="4"/>
  <c r="H27" i="4"/>
  <c r="F23" i="4"/>
  <c r="H24" i="4"/>
  <c r="D26" i="4"/>
  <c r="D29" i="4"/>
  <c r="H18" i="4"/>
  <c r="E22" i="4"/>
  <c r="E19" i="4"/>
  <c r="D25" i="4"/>
  <c r="G27" i="4"/>
  <c r="D19" i="4"/>
  <c r="H21" i="4"/>
  <c r="E23" i="4"/>
  <c r="F24" i="4"/>
  <c r="F27" i="4"/>
  <c r="D23" i="4"/>
  <c r="H23" i="4"/>
  <c r="E18" i="4"/>
  <c r="H20" i="4"/>
  <c r="E25" i="4"/>
  <c r="E20" i="4"/>
  <c r="G21" i="4"/>
  <c r="H22" i="4"/>
  <c r="H25" i="4"/>
  <c r="F25" i="4"/>
  <c r="F29" i="4"/>
  <c r="F22" i="4"/>
  <c r="D22" i="4"/>
  <c r="D24" i="4"/>
  <c r="D20" i="4"/>
  <c r="E24" i="4"/>
  <c r="G23" i="4"/>
  <c r="G28" i="4"/>
  <c r="E17" i="4"/>
  <c r="H29" i="4"/>
  <c r="F21" i="4"/>
  <c r="F18" i="4"/>
  <c r="G19" i="4"/>
  <c r="G22" i="4"/>
  <c r="H26" i="4"/>
  <c r="F28" i="4"/>
  <c r="G25" i="4"/>
  <c r="G18" i="4"/>
  <c r="E21" i="4"/>
  <c r="D17" i="4"/>
  <c r="E28" i="4"/>
  <c r="G29" i="4"/>
  <c r="E26" i="4"/>
  <c r="D18" i="4"/>
  <c r="D21" i="4"/>
  <c r="G20" i="4"/>
  <c r="E27" i="4"/>
  <c r="F17" i="4"/>
  <c r="G26" i="4"/>
  <c r="D28" i="4"/>
  <c r="E29" i="4"/>
  <c r="F20" i="4"/>
  <c r="F19" i="4"/>
  <c r="H19" i="4"/>
  <c r="D27" i="4"/>
  <c r="H28" i="4"/>
  <c r="K21" i="5"/>
  <c r="P23" i="5"/>
  <c r="P18" i="5"/>
  <c r="L28" i="5"/>
  <c r="P26" i="5"/>
  <c r="M24" i="5"/>
  <c r="D18" i="5"/>
  <c r="O25" i="5"/>
  <c r="P20" i="5"/>
  <c r="G28" i="5"/>
  <c r="H23" i="5"/>
  <c r="I18" i="5"/>
  <c r="M28" i="5"/>
  <c r="N23" i="5"/>
  <c r="O18" i="5"/>
  <c r="D28" i="5"/>
  <c r="E23" i="5"/>
  <c r="F18" i="5"/>
  <c r="D22" i="5"/>
  <c r="O24" i="5"/>
  <c r="P19" i="5"/>
  <c r="O22" i="5"/>
  <c r="K19" i="5"/>
  <c r="G22" i="5"/>
  <c r="L18" i="5"/>
  <c r="K23" i="5"/>
  <c r="J28" i="5"/>
  <c r="J26" i="5"/>
  <c r="D19" i="5"/>
  <c r="J19" i="5"/>
  <c r="N18" i="5"/>
  <c r="J25" i="5"/>
  <c r="I20" i="5"/>
  <c r="P22" i="5"/>
  <c r="G25" i="5"/>
  <c r="H20" i="5"/>
  <c r="L27" i="5"/>
  <c r="M22" i="5"/>
  <c r="N17" i="5"/>
  <c r="E28" i="5"/>
  <c r="F23" i="5"/>
  <c r="G18" i="5"/>
  <c r="I27" i="5"/>
  <c r="J22" i="5"/>
  <c r="K17" i="5"/>
  <c r="M17" i="5"/>
  <c r="G24" i="5"/>
  <c r="H19" i="5"/>
  <c r="L21" i="5"/>
  <c r="O23" i="5"/>
  <c r="E24" i="5"/>
  <c r="G19" i="5"/>
  <c r="F24" i="5"/>
  <c r="O28" i="5"/>
  <c r="I24" i="5"/>
  <c r="M23" i="5"/>
  <c r="K20" i="5"/>
  <c r="O27" i="5"/>
  <c r="L24" i="5"/>
  <c r="M19" i="5"/>
  <c r="K27" i="5"/>
  <c r="D27" i="5"/>
  <c r="E22" i="5"/>
  <c r="F17" i="5"/>
  <c r="J27" i="5"/>
  <c r="K22" i="5"/>
  <c r="L17" i="5"/>
  <c r="N26" i="5"/>
  <c r="O21" i="5"/>
  <c r="F27" i="5"/>
  <c r="K28" i="5"/>
  <c r="L23" i="5"/>
  <c r="M18" i="5"/>
  <c r="N19" i="5"/>
  <c r="P25" i="5"/>
  <c r="O19" i="5"/>
  <c r="N24" i="5"/>
  <c r="D24" i="5"/>
  <c r="I26" i="5"/>
  <c r="D17" i="5"/>
  <c r="G21" i="5"/>
  <c r="P27" i="5"/>
  <c r="E18" i="5"/>
  <c r="N27" i="5"/>
  <c r="J20" i="5"/>
  <c r="I25" i="5"/>
  <c r="M16" i="5"/>
  <c r="H28" i="5"/>
  <c r="I23" i="5"/>
  <c r="J18" i="5"/>
  <c r="J24" i="5"/>
  <c r="N25" i="5"/>
  <c r="O20" i="5"/>
  <c r="F28" i="5"/>
  <c r="G26" i="5"/>
  <c r="H21" i="5"/>
  <c r="H26" i="5"/>
  <c r="K25" i="5"/>
  <c r="L20" i="5"/>
  <c r="J23" i="5"/>
  <c r="H27" i="5"/>
  <c r="I22" i="5"/>
  <c r="J17" i="5"/>
  <c r="N28" i="5"/>
  <c r="E21" i="5"/>
  <c r="D26" i="5"/>
  <c r="E16" i="5"/>
  <c r="P28" i="5"/>
  <c r="E19" i="5"/>
  <c r="J21" i="5"/>
  <c r="O26" i="5"/>
  <c r="P21" i="5"/>
  <c r="F26" i="5"/>
  <c r="H25" i="5"/>
  <c r="D23" i="5"/>
  <c r="P17" i="5"/>
  <c r="K16" i="5"/>
  <c r="M27" i="5"/>
  <c r="N22" i="5"/>
  <c r="O17" i="5"/>
  <c r="N20" i="5"/>
  <c r="F25" i="5"/>
  <c r="G20" i="5"/>
  <c r="E25" i="5"/>
  <c r="L25" i="5"/>
  <c r="M20" i="5"/>
  <c r="I21" i="5"/>
  <c r="P24" i="5"/>
  <c r="D20" i="5"/>
  <c r="D21" i="5"/>
  <c r="M26" i="5"/>
  <c r="N21" i="5"/>
  <c r="I28" i="5"/>
  <c r="G23" i="5"/>
  <c r="H17" i="5"/>
  <c r="M21" i="5"/>
  <c r="L26" i="5"/>
  <c r="M25" i="5"/>
  <c r="G16" i="5"/>
  <c r="F16" i="5"/>
  <c r="E27" i="5"/>
  <c r="F22" i="5"/>
  <c r="G17" i="5"/>
  <c r="H18" i="5"/>
  <c r="K24" i="5"/>
  <c r="L19" i="5"/>
  <c r="L22" i="5"/>
  <c r="D25" i="5"/>
  <c r="E20" i="5"/>
  <c r="E17" i="5"/>
  <c r="H24" i="5"/>
  <c r="I19" i="5"/>
  <c r="K18" i="5"/>
  <c r="E26" i="5"/>
  <c r="F21" i="5"/>
  <c r="K26" i="5"/>
  <c r="F20" i="5"/>
  <c r="F19" i="5"/>
  <c r="I17" i="5"/>
  <c r="H22" i="5"/>
  <c r="G27" i="5"/>
  <c r="C18" i="8"/>
  <c r="I18" i="8"/>
  <c r="K18" i="8"/>
  <c r="G18" i="8"/>
  <c r="J18" i="8"/>
  <c r="H18" i="8"/>
  <c r="L18" i="8"/>
  <c r="O18" i="8"/>
  <c r="E18" i="8"/>
  <c r="M18" i="8"/>
  <c r="G17" i="9"/>
  <c r="F17" i="9"/>
  <c r="H17" i="9"/>
  <c r="E17" i="9"/>
  <c r="D17" i="9"/>
  <c r="H17" i="4"/>
  <c r="G17" i="4"/>
  <c r="J16" i="5"/>
  <c r="O16" i="5"/>
  <c r="H16" i="5"/>
  <c r="L16" i="5"/>
  <c r="P16" i="5"/>
  <c r="N16" i="5"/>
  <c r="I16" i="5"/>
  <c r="D16" i="5"/>
</calcChain>
</file>

<file path=xl/sharedStrings.xml><?xml version="1.0" encoding="utf-8"?>
<sst xmlns="http://schemas.openxmlformats.org/spreadsheetml/2006/main" count="199" uniqueCount="96">
  <si>
    <t>Account</t>
  </si>
  <si>
    <t>Currency Calc</t>
  </si>
  <si>
    <t>Month</t>
  </si>
  <si>
    <t>Year</t>
  </si>
  <si>
    <t>Prior Year Actual</t>
  </si>
  <si>
    <t>Target</t>
  </si>
  <si>
    <t>Budget</t>
  </si>
  <si>
    <t>D</t>
  </si>
  <si>
    <t>N</t>
  </si>
  <si>
    <t>[Begin Format Range]</t>
  </si>
  <si>
    <t>[End Format Range]</t>
  </si>
  <si>
    <t>Organization</t>
  </si>
  <si>
    <t>Currency</t>
  </si>
  <si>
    <t>Copy From Version</t>
  </si>
  <si>
    <t>Row Filter</t>
  </si>
  <si>
    <t>Summary</t>
  </si>
  <si>
    <t>No</t>
  </si>
  <si>
    <t>PY Actuals</t>
  </si>
  <si>
    <t>Change</t>
  </si>
  <si>
    <t>Explanation</t>
  </si>
  <si>
    <t>Target vs Prior Year Actual</t>
  </si>
  <si>
    <t>5999 Cost of Sales</t>
  </si>
  <si>
    <t>Gross Margin</t>
  </si>
  <si>
    <t>6099 PAYROLL</t>
  </si>
  <si>
    <t>6199 OFFICE EXPENSE</t>
  </si>
  <si>
    <t>6299 TRAVEL</t>
  </si>
  <si>
    <t>6399 OCCUPANCY</t>
  </si>
  <si>
    <t>6499 MARKETING</t>
  </si>
  <si>
    <t>6599 DEPRECIATION</t>
  </si>
  <si>
    <t>Total Operating Expense</t>
  </si>
  <si>
    <t>Net Profit</t>
  </si>
  <si>
    <t>6699 ALLOCATIONS</t>
  </si>
  <si>
    <t>Net Profit After Allocations</t>
  </si>
  <si>
    <t>Version</t>
  </si>
  <si>
    <t>Marketing</t>
  </si>
  <si>
    <t>Yes</t>
  </si>
  <si>
    <t>($000)</t>
  </si>
  <si>
    <t>Jan</t>
  </si>
  <si>
    <t>Feb</t>
  </si>
  <si>
    <t>Mar</t>
  </si>
  <si>
    <t>Apr</t>
  </si>
  <si>
    <t>May</t>
  </si>
  <si>
    <t>Jun</t>
  </si>
  <si>
    <t>Jul</t>
  </si>
  <si>
    <t>Aug</t>
  </si>
  <si>
    <t>Sep</t>
  </si>
  <si>
    <t>Oct</t>
  </si>
  <si>
    <t>Nov</t>
  </si>
  <si>
    <t>Dec</t>
  </si>
  <si>
    <t>CUBE:</t>
  </si>
  <si>
    <t>Gross Revenue</t>
  </si>
  <si>
    <t>4999 Gross Revenue</t>
  </si>
  <si>
    <t>Cost of Sales</t>
  </si>
  <si>
    <t>Operating Expense</t>
  </si>
  <si>
    <t>Payroll</t>
  </si>
  <si>
    <t>Office Expense</t>
  </si>
  <si>
    <t>Travel</t>
  </si>
  <si>
    <t>Occupancy</t>
  </si>
  <si>
    <t>Depreciation</t>
  </si>
  <si>
    <t>Allocations</t>
  </si>
  <si>
    <t>OpExSubsets</t>
  </si>
  <si>
    <t>RowFilter</t>
  </si>
  <si>
    <t>SelectYesNo</t>
  </si>
  <si>
    <t>FcstMethods</t>
  </si>
  <si>
    <t>Item</t>
  </si>
  <si>
    <t>OpEx</t>
  </si>
  <si>
    <t>Driver</t>
  </si>
  <si>
    <t>Last Year Actual</t>
  </si>
  <si>
    <t>OpEx All</t>
  </si>
  <si>
    <t>Average Prior 3 Months</t>
  </si>
  <si>
    <t/>
  </si>
  <si>
    <t>Regions</t>
  </si>
  <si>
    <t>Org All</t>
  </si>
  <si>
    <t>Org</t>
  </si>
  <si>
    <t>Change %</t>
  </si>
  <si>
    <t>PY Actual</t>
  </si>
  <si>
    <t>Target vs Prior Year Actual %</t>
  </si>
  <si>
    <t>Eastern Region</t>
  </si>
  <si>
    <t>Massachusetts</t>
  </si>
  <si>
    <t>Maryland</t>
  </si>
  <si>
    <t>Georgia</t>
  </si>
  <si>
    <t>Central Region</t>
  </si>
  <si>
    <t>Michigan</t>
  </si>
  <si>
    <t>Illinois</t>
  </si>
  <si>
    <t>Western Region</t>
  </si>
  <si>
    <t>California</t>
  </si>
  <si>
    <t>Washington</t>
  </si>
  <si>
    <t>Canada</t>
  </si>
  <si>
    <t>Toronto</t>
  </si>
  <si>
    <t>Vancouver</t>
  </si>
  <si>
    <t>Calgary</t>
  </si>
  <si>
    <t>Total Company</t>
  </si>
  <si>
    <t>Suppress Zero</t>
  </si>
  <si>
    <t>200</t>
  </si>
  <si>
    <t>300</t>
  </si>
  <si>
    <t>400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</si>
</sst>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8">
    <numFmt numFmtId="41" formatCode="_(* #,##0_);_(* \(#,##0\);_(* &quot;-&quot;_);_(@_)"/>
    <numFmt numFmtId="44" formatCode="_(&quot;$&quot;* #,##0.00_);_(&quot;$&quot;* \(#,##0.00\);_(&quot;$&quot;* &quot;-&quot;??_);_(@_)"/>
    <numFmt numFmtId="43" formatCode="_(* #,##0.00_);_(* \(#,##0.00\);_(* &quot;-&quot;??_);_(@_)"/>
    <numFmt numFmtId="166" formatCode="_(* #,##0_);_(* \(#,##0\);_(* &quot;-&quot;??_);_(@_)"/>
    <numFmt numFmtId="167" formatCode="_(* #,##0,_);_(* \(#,##0,\);_(* &quot;-&quot;??_);_(@_)"/>
    <numFmt numFmtId="168" formatCode="0.0\%;[Red]\-0.0\%"/>
    <numFmt numFmtId="169" formatCode="\+\ @"/>
    <numFmt numFmtId="170" formatCode="\-\ @"/>
  </numFmts>
  <fonts count="32" x14ac:knownFonts="1">
    <font>
      <sz val="11"/>
      <color theme="1"/>
      <name val="Calibri"/>
      <family val="2"/>
      <scheme val="minor"/>
    </font>
    <font>
      <b/>
      <sz val="10"/>
      <color indexed="9"/>
      <name val="Calibri"/>
      <family val="2"/>
    </font>
    <font>
      <b/>
      <sz val="10"/>
      <name val="Calibri"/>
      <family val="2"/>
    </font>
    <font>
      <sz val="10"/>
      <name val="Arial"/>
      <family val="2"/>
    </font>
    <font>
      <sz val="10"/>
      <name val="MS Sans Serif"/>
      <family val="2"/>
    </font>
    <font>
      <sz val="10"/>
      <name val="Verdana"/>
      <family val="2"/>
    </font>
    <font>
      <sz val="11"/>
      <color indexed="8"/>
      <name val="Calibri"/>
      <family val="2"/>
    </font>
    <font>
      <sz val="11"/>
      <color indexed="8"/>
      <name val="Calibri"/>
      <family val="2"/>
    </font>
    <font>
      <b/>
      <sz val="11"/>
      <color indexed="9"/>
      <name val="Calibri"/>
      <family val="2"/>
    </font>
    <font>
      <b/>
      <sz val="11"/>
      <color indexed="8"/>
      <name val="Calibri"/>
      <family val="2"/>
    </font>
    <font>
      <sz val="10"/>
      <color indexed="8"/>
      <name val="Calibri"/>
      <family val="2"/>
    </font>
    <font>
      <sz val="8"/>
      <name val="Calibri"/>
      <family val="2"/>
    </font>
    <font>
      <sz val="9"/>
      <color indexed="8"/>
      <name val="Calibri"/>
      <family val="2"/>
    </font>
    <font>
      <sz val="14"/>
      <name val="Calibri"/>
      <family val="2"/>
    </font>
    <font>
      <b/>
      <sz val="12"/>
      <color theme="0"/>
      <name val="Arial"/>
      <family val="2"/>
    </font>
    <font>
      <b/>
      <sz val="9"/>
      <name val="Arial"/>
      <family val="2"/>
    </font>
    <font>
      <sz val="11"/>
      <name val="Calibri"/>
      <family val="2"/>
      <scheme val="minor"/>
    </font>
    <font>
      <b/>
      <sz val="12"/>
      <name val="Arial"/>
      <family val="2"/>
    </font>
    <font>
      <b/>
      <sz val="8"/>
      <name val="Arial"/>
      <family val="2"/>
    </font>
    <font>
      <sz val="8"/>
      <name val="Arial"/>
      <family val="2"/>
    </font>
    <font>
      <sz val="11"/>
      <name val="Arial"/>
      <family val="2"/>
    </font>
    <font>
      <b/>
      <sz val="9"/>
      <color indexed="8"/>
      <name val="Arial"/>
      <family val="2"/>
    </font>
    <font>
      <sz val="9"/>
      <color indexed="8"/>
      <name val="Arial"/>
      <family val="2"/>
    </font>
    <font>
      <sz val="9"/>
      <color theme="1"/>
      <name val="Arial"/>
      <family val="2"/>
    </font>
    <font>
      <sz val="8"/>
      <color theme="1"/>
      <name val="Arial"/>
      <family val="2"/>
    </font>
    <font>
      <sz val="8"/>
      <color indexed="8"/>
      <name val="Arial"/>
      <family val="2"/>
    </font>
    <font>
      <b/>
      <sz val="9"/>
      <color theme="1"/>
      <name val="Arial"/>
      <family val="2"/>
    </font>
    <font>
      <sz val="9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sz val="9"/>
      <name val="Arial"/>
      <family val="2"/>
    </font>
    <font>
      <b/>
      <sz val="9"/>
      <color theme="0" tint="-0.499984740745262"/>
      <name val="Arial"/>
      <family val="2"/>
    </font>
    <font>
      <b/>
      <sz val="9"/>
      <color rgb="FF8BC43F"/>
      <name val="Arial"/>
      <family val="2"/>
    </font>
  </fonts>
  <fills count="8">
    <fill>
      <patternFill patternType="none"/>
    </fill>
    <fill>
      <patternFill patternType="gray125"/>
    </fill>
    <fill>
      <patternFill patternType="solid">
        <fgColor indexed="44"/>
      </patternFill>
    </fill>
    <fill>
      <patternFill patternType="solid">
        <fgColor indexed="26"/>
      </patternFill>
    </fill>
    <fill>
      <patternFill patternType="solid">
        <fgColor indexed="10"/>
        <bgColor indexed="64"/>
      </patternFill>
    </fill>
    <fill>
      <patternFill patternType="solid">
        <fgColor indexed="18"/>
      </patternFill>
    </fill>
    <fill>
      <patternFill patternType="solid">
        <fgColor indexed="46"/>
        <bgColor indexed="64"/>
      </patternFill>
    </fill>
    <fill>
      <patternFill patternType="solid">
        <fgColor theme="0" tint="-4.9989318521683403E-2"/>
        <bgColor indexed="64"/>
      </patternFill>
    </fill>
  </fills>
  <borders count="9">
    <border>
      <left/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medium">
        <color indexed="63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/>
      <diagonal/>
    </border>
    <border>
      <left/>
      <right/>
      <top style="thin">
        <color theme="0" tint="-0.24994659260841701"/>
      </top>
      <bottom/>
      <diagonal/>
    </border>
    <border>
      <left/>
      <right/>
      <top style="thin">
        <color theme="0" tint="-0.34998626667073579"/>
      </top>
      <bottom/>
      <diagonal/>
    </border>
    <border>
      <left/>
      <right/>
      <top style="thin">
        <color theme="0" tint="-0.34998626667073579"/>
      </top>
      <bottom style="thin">
        <color theme="0" tint="-0.34998626667073579"/>
      </bottom>
      <diagonal/>
    </border>
    <border>
      <left/>
      <right/>
      <top/>
      <bottom style="thick">
        <color rgb="FF0296DF"/>
      </bottom>
      <diagonal/>
    </border>
  </borders>
  <cellStyleXfs count="17">
    <xf numFmtId="0" fontId="0" fillId="0" borderId="0"/>
    <xf numFmtId="43" fontId="7" fillId="0" borderId="0" applyFont="0" applyFill="0" applyBorder="0" applyAlignment="0" applyProtection="0"/>
    <xf numFmtId="41" fontId="3" fillId="0" borderId="0" applyFont="0" applyFill="0" applyBorder="0" applyAlignment="0" applyProtection="0"/>
    <xf numFmtId="41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0" fontId="4" fillId="0" borderId="0" applyFont="0" applyFill="0" applyBorder="0" applyAlignment="0" applyProtection="0"/>
    <xf numFmtId="43" fontId="5" fillId="0" borderId="0" applyFont="0" applyFill="0" applyBorder="0" applyAlignment="0" applyProtection="0"/>
    <xf numFmtId="44" fontId="6" fillId="0" borderId="0" applyFont="0" applyFill="0" applyBorder="0" applyAlignment="0" applyProtection="0"/>
    <xf numFmtId="0" fontId="3" fillId="0" borderId="0"/>
    <xf numFmtId="0" fontId="3" fillId="0" borderId="0"/>
    <xf numFmtId="0" fontId="3" fillId="0" borderId="0"/>
    <xf numFmtId="0" fontId="5" fillId="0" borderId="0"/>
    <xf numFmtId="9" fontId="7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5" fillId="0" borderId="0" applyFont="0" applyFill="0" applyBorder="0" applyAlignment="0" applyProtection="0"/>
  </cellStyleXfs>
  <cellXfs count="113">
    <xf numFmtId="0" fontId="0" fillId="0" borderId="0" xfId="0"/>
    <xf numFmtId="0" fontId="9" fillId="0" borderId="0" xfId="0" applyFont="1"/>
    <xf numFmtId="0" fontId="0" fillId="0" borderId="0" xfId="0" applyBorder="1"/>
    <xf numFmtId="0" fontId="0" fillId="0" borderId="0" xfId="0" applyFill="1" applyBorder="1"/>
    <xf numFmtId="0" fontId="10" fillId="0" borderId="0" xfId="0" applyFont="1" applyAlignment="1">
      <alignment horizontal="center" vertical="center"/>
    </xf>
    <xf numFmtId="0" fontId="0" fillId="0" borderId="0" xfId="0" applyAlignment="1">
      <alignment vertical="center"/>
    </xf>
    <xf numFmtId="0" fontId="0" fillId="0" borderId="1" xfId="0" applyBorder="1"/>
    <xf numFmtId="0" fontId="8" fillId="5" borderId="0" xfId="0" applyFont="1" applyFill="1" applyAlignment="1">
      <alignment horizontal="center"/>
    </xf>
    <xf numFmtId="0" fontId="0" fillId="2" borderId="0" xfId="0" applyFill="1"/>
    <xf numFmtId="0" fontId="0" fillId="3" borderId="0" xfId="0" applyFill="1"/>
    <xf numFmtId="49" fontId="0" fillId="0" borderId="0" xfId="0" applyNumberFormat="1" applyAlignment="1">
      <alignment horizontal="left" indent="2"/>
    </xf>
    <xf numFmtId="166" fontId="12" fillId="2" borderId="0" xfId="1" applyNumberFormat="1" applyFont="1" applyFill="1"/>
    <xf numFmtId="166" fontId="12" fillId="3" borderId="0" xfId="1" applyNumberFormat="1" applyFont="1" applyFill="1"/>
    <xf numFmtId="166" fontId="12" fillId="0" borderId="0" xfId="1" applyNumberFormat="1" applyFont="1"/>
    <xf numFmtId="0" fontId="13" fillId="6" borderId="3" xfId="0" applyFont="1" applyFill="1" applyBorder="1" applyAlignment="1">
      <alignment vertical="center"/>
    </xf>
    <xf numFmtId="0" fontId="12" fillId="0" borderId="0" xfId="0" applyFont="1" applyAlignment="1">
      <alignment vertical="center"/>
    </xf>
    <xf numFmtId="0" fontId="12" fillId="0" borderId="0" xfId="0" applyFont="1" applyBorder="1" applyAlignment="1">
      <alignment vertical="center"/>
    </xf>
    <xf numFmtId="49" fontId="15" fillId="7" borderId="0" xfId="0" applyNumberFormat="1" applyFont="1" applyFill="1" applyBorder="1" applyAlignment="1">
      <alignment horizontal="center" vertical="center"/>
    </xf>
    <xf numFmtId="49" fontId="15" fillId="7" borderId="4" xfId="0" applyNumberFormat="1" applyFont="1" applyFill="1" applyBorder="1" applyAlignment="1">
      <alignment horizontal="center" vertical="center"/>
    </xf>
    <xf numFmtId="0" fontId="16" fillId="0" borderId="0" xfId="0" applyFont="1" applyFill="1" applyBorder="1"/>
    <xf numFmtId="0" fontId="17" fillId="0" borderId="0" xfId="0" applyFont="1" applyFill="1" applyBorder="1"/>
    <xf numFmtId="0" fontId="20" fillId="0" borderId="0" xfId="0" applyFont="1" applyFill="1" applyBorder="1"/>
    <xf numFmtId="166" fontId="19" fillId="0" borderId="0" xfId="1" applyNumberFormat="1" applyFont="1" applyFill="1" applyBorder="1"/>
    <xf numFmtId="0" fontId="13" fillId="0" borderId="0" xfId="0" applyFont="1" applyFill="1" applyBorder="1" applyAlignment="1">
      <alignment vertical="center"/>
    </xf>
    <xf numFmtId="49" fontId="15" fillId="7" borderId="0" xfId="0" applyNumberFormat="1" applyFont="1" applyFill="1" applyBorder="1" applyAlignment="1">
      <alignment horizontal="center" vertical="center"/>
    </xf>
    <xf numFmtId="49" fontId="15" fillId="7" borderId="4" xfId="0" applyNumberFormat="1" applyFont="1" applyFill="1" applyBorder="1" applyAlignment="1">
      <alignment horizontal="center" vertical="center"/>
    </xf>
    <xf numFmtId="49" fontId="1" fillId="4" borderId="2" xfId="0" applyNumberFormat="1" applyFont="1" applyFill="1" applyBorder="1" applyAlignment="1">
      <alignment horizontal="center" vertical="center"/>
    </xf>
    <xf numFmtId="9" fontId="18" fillId="0" borderId="0" xfId="13" applyFont="1" applyFill="1" applyBorder="1"/>
    <xf numFmtId="9" fontId="19" fillId="0" borderId="0" xfId="13" applyFont="1" applyFill="1" applyBorder="1"/>
    <xf numFmtId="0" fontId="0" fillId="7" borderId="0" xfId="0" applyFill="1"/>
    <xf numFmtId="49" fontId="1" fillId="4" borderId="1" xfId="0" applyNumberFormat="1" applyFont="1" applyFill="1" applyBorder="1" applyAlignment="1">
      <alignment horizontal="center" vertical="center"/>
    </xf>
    <xf numFmtId="0" fontId="21" fillId="0" borderId="0" xfId="0" applyFont="1" applyFill="1" applyBorder="1" applyAlignment="1"/>
    <xf numFmtId="49" fontId="21" fillId="0" borderId="0" xfId="0" applyNumberFormat="1" applyFont="1" applyFill="1" applyBorder="1" applyAlignment="1">
      <alignment horizontal="center" vertical="center"/>
    </xf>
    <xf numFmtId="166" fontId="21" fillId="0" borderId="0" xfId="1" applyNumberFormat="1" applyFont="1" applyFill="1" applyBorder="1"/>
    <xf numFmtId="49" fontId="21" fillId="0" borderId="0" xfId="9" applyNumberFormat="1" applyFont="1" applyFill="1" applyBorder="1" applyAlignment="1">
      <alignment horizontal="left" vertical="center"/>
    </xf>
    <xf numFmtId="0" fontId="21" fillId="0" borderId="0" xfId="0" applyFont="1" applyBorder="1" applyAlignment="1">
      <alignment horizontal="left" vertical="center"/>
    </xf>
    <xf numFmtId="0" fontId="23" fillId="0" borderId="0" xfId="0" applyFont="1" applyAlignment="1">
      <alignment vertical="center"/>
    </xf>
    <xf numFmtId="0" fontId="23" fillId="0" borderId="0" xfId="0" applyFont="1"/>
    <xf numFmtId="0" fontId="24" fillId="0" borderId="0" xfId="0" applyFont="1" applyAlignment="1">
      <alignment vertical="center"/>
    </xf>
    <xf numFmtId="0" fontId="24" fillId="0" borderId="0" xfId="0" applyFont="1"/>
    <xf numFmtId="0" fontId="25" fillId="0" borderId="0" xfId="0" applyFont="1" applyAlignment="1">
      <alignment vertical="center"/>
    </xf>
    <xf numFmtId="0" fontId="25" fillId="0" borderId="0" xfId="0" applyFont="1"/>
    <xf numFmtId="0" fontId="24" fillId="0" borderId="0" xfId="0" applyFont="1" applyAlignment="1">
      <alignment horizontal="center" vertical="center"/>
    </xf>
    <xf numFmtId="0" fontId="26" fillId="0" borderId="0" xfId="0" applyFont="1" applyAlignment="1">
      <alignment horizontal="center" vertical="center"/>
    </xf>
    <xf numFmtId="0" fontId="27" fillId="0" borderId="0" xfId="0" applyFont="1" applyFill="1" applyBorder="1"/>
    <xf numFmtId="0" fontId="28" fillId="0" borderId="0" xfId="0" applyFont="1"/>
    <xf numFmtId="49" fontId="22" fillId="0" borderId="0" xfId="9" applyNumberFormat="1" applyFont="1" applyFill="1" applyBorder="1" applyAlignment="1">
      <alignment horizontal="left" vertical="center" indent="1"/>
    </xf>
    <xf numFmtId="0" fontId="21" fillId="0" borderId="0" xfId="0" applyFont="1" applyBorder="1" applyAlignment="1">
      <alignment horizontal="left"/>
    </xf>
    <xf numFmtId="166" fontId="29" fillId="0" borderId="0" xfId="1" applyNumberFormat="1" applyFont="1" applyFill="1" applyBorder="1"/>
    <xf numFmtId="49" fontId="21" fillId="0" borderId="0" xfId="9" applyNumberFormat="1" applyFont="1" applyFill="1" applyBorder="1" applyAlignment="1">
      <alignment horizontal="left" vertical="center" indent="2"/>
    </xf>
    <xf numFmtId="166" fontId="15" fillId="0" borderId="0" xfId="1" applyNumberFormat="1" applyFont="1" applyFill="1" applyBorder="1"/>
    <xf numFmtId="49" fontId="21" fillId="0" borderId="0" xfId="9" applyNumberFormat="1" applyFont="1" applyFill="1" applyBorder="1" applyAlignment="1">
      <alignment horizontal="left" vertical="center" indent="1"/>
    </xf>
    <xf numFmtId="166" fontId="15" fillId="0" borderId="5" xfId="1" applyNumberFormat="1" applyFont="1" applyFill="1" applyBorder="1"/>
    <xf numFmtId="166" fontId="15" fillId="0" borderId="6" xfId="1" applyNumberFormat="1" applyFont="1" applyFill="1" applyBorder="1"/>
    <xf numFmtId="166" fontId="15" fillId="0" borderId="7" xfId="1" applyNumberFormat="1" applyFont="1" applyFill="1" applyBorder="1" applyAlignment="1">
      <alignment vertical="center"/>
    </xf>
    <xf numFmtId="49" fontId="15" fillId="7" borderId="0" xfId="0" applyNumberFormat="1" applyFont="1" applyFill="1" applyBorder="1" applyAlignment="1">
      <alignment horizontal="center" vertical="center"/>
    </xf>
    <xf numFmtId="49" fontId="15" fillId="7" borderId="4" xfId="0" applyNumberFormat="1" applyFont="1" applyFill="1" applyBorder="1" applyAlignment="1">
      <alignment horizontal="center" vertical="center"/>
    </xf>
    <xf numFmtId="0" fontId="14" fillId="0" borderId="0" xfId="0" applyFont="1" applyFill="1" applyBorder="1" applyAlignment="1">
      <alignment vertical="center"/>
    </xf>
    <xf numFmtId="0" fontId="14" fillId="0" borderId="0" xfId="0" applyFont="1" applyFill="1" applyBorder="1"/>
    <xf numFmtId="0" fontId="30" fillId="0" borderId="0" xfId="0" applyFont="1" applyBorder="1" applyAlignment="1">
      <alignment horizontal="center" vertical="center"/>
    </xf>
    <xf numFmtId="49" fontId="15" fillId="0" borderId="0" xfId="0" applyNumberFormat="1" applyFont="1" applyFill="1" applyBorder="1" applyAlignment="1">
      <alignment horizontal="left" indent="1"/>
    </xf>
    <xf numFmtId="49" fontId="29" fillId="0" borderId="0" xfId="0" applyNumberFormat="1" applyFont="1" applyFill="1" applyBorder="1" applyAlignment="1">
      <alignment horizontal="left" indent="1"/>
    </xf>
    <xf numFmtId="166" fontId="29" fillId="7" borderId="0" xfId="1" applyNumberFormat="1" applyFont="1" applyFill="1" applyBorder="1"/>
    <xf numFmtId="38" fontId="29" fillId="7" borderId="0" xfId="1" applyNumberFormat="1" applyFont="1" applyFill="1" applyBorder="1"/>
    <xf numFmtId="168" fontId="29" fillId="7" borderId="0" xfId="1" applyNumberFormat="1" applyFont="1" applyFill="1" applyBorder="1"/>
    <xf numFmtId="49" fontId="29" fillId="0" borderId="0" xfId="0" applyNumberFormat="1" applyFont="1" applyFill="1" applyBorder="1" applyAlignment="1">
      <alignment horizontal="left" indent="3"/>
    </xf>
    <xf numFmtId="166" fontId="15" fillId="7" borderId="0" xfId="1" applyNumberFormat="1" applyFont="1" applyFill="1" applyBorder="1"/>
    <xf numFmtId="38" fontId="15" fillId="7" borderId="0" xfId="1" applyNumberFormat="1" applyFont="1" applyFill="1" applyBorder="1"/>
    <xf numFmtId="168" fontId="15" fillId="7" borderId="0" xfId="1" applyNumberFormat="1" applyFont="1" applyFill="1" applyBorder="1"/>
    <xf numFmtId="49" fontId="2" fillId="0" borderId="2" xfId="0" applyNumberFormat="1" applyFont="1" applyFill="1" applyBorder="1" applyAlignment="1">
      <alignment horizontal="center" vertical="center"/>
    </xf>
    <xf numFmtId="0" fontId="15" fillId="0" borderId="8" xfId="0" applyNumberFormat="1" applyFont="1" applyFill="1" applyBorder="1" applyAlignment="1" applyProtection="1">
      <alignment horizontal="center" vertical="center"/>
    </xf>
    <xf numFmtId="167" fontId="29" fillId="0" borderId="0" xfId="1" applyNumberFormat="1" applyFont="1" applyFill="1" applyBorder="1"/>
    <xf numFmtId="167" fontId="15" fillId="0" borderId="0" xfId="1" applyNumberFormat="1" applyFont="1" applyFill="1" applyBorder="1"/>
    <xf numFmtId="168" fontId="29" fillId="7" borderId="0" xfId="13" applyNumberFormat="1" applyFont="1" applyFill="1" applyBorder="1"/>
    <xf numFmtId="168" fontId="15" fillId="7" borderId="0" xfId="13" applyNumberFormat="1" applyFont="1" applyFill="1" applyBorder="1"/>
    <xf numFmtId="0" fontId="30" fillId="0" borderId="0" xfId="0" applyFont="1" applyFill="1" applyBorder="1" applyAlignment="1">
      <alignment horizontal="center" vertical="center"/>
    </xf>
    <xf numFmtId="49" fontId="21" fillId="7" borderId="0" xfId="0" applyNumberFormat="1" applyFont="1" applyFill="1" applyBorder="1" applyAlignment="1">
      <alignment horizontal="center" vertical="center"/>
    </xf>
    <xf numFmtId="166" fontId="15" fillId="7" borderId="6" xfId="1" applyNumberFormat="1" applyFont="1" applyFill="1" applyBorder="1"/>
    <xf numFmtId="166" fontId="21" fillId="7" borderId="0" xfId="1" applyNumberFormat="1" applyFont="1" applyFill="1" applyBorder="1"/>
    <xf numFmtId="166" fontId="15" fillId="7" borderId="5" xfId="1" applyNumberFormat="1" applyFont="1" applyFill="1" applyBorder="1"/>
    <xf numFmtId="166" fontId="15" fillId="7" borderId="7" xfId="1" applyNumberFormat="1" applyFont="1" applyFill="1" applyBorder="1" applyAlignment="1">
      <alignment vertical="center"/>
    </xf>
    <xf numFmtId="38" fontId="15" fillId="7" borderId="6" xfId="1" applyNumberFormat="1" applyFont="1" applyFill="1" applyBorder="1"/>
    <xf numFmtId="38" fontId="21" fillId="7" borderId="0" xfId="1" applyNumberFormat="1" applyFont="1" applyFill="1" applyBorder="1"/>
    <xf numFmtId="38" fontId="15" fillId="7" borderId="5" xfId="1" applyNumberFormat="1" applyFont="1" applyFill="1" applyBorder="1"/>
    <xf numFmtId="38" fontId="15" fillId="7" borderId="7" xfId="1" applyNumberFormat="1" applyFont="1" applyFill="1" applyBorder="1" applyAlignment="1">
      <alignment vertical="center"/>
    </xf>
    <xf numFmtId="9" fontId="21" fillId="7" borderId="0" xfId="13" applyFont="1" applyFill="1" applyBorder="1" applyAlignment="1">
      <alignment horizontal="center" vertical="center"/>
    </xf>
    <xf numFmtId="168" fontId="29" fillId="7" borderId="0" xfId="13" applyNumberFormat="1" applyFont="1" applyFill="1" applyBorder="1" applyAlignment="1">
      <alignment vertical="center"/>
    </xf>
    <xf numFmtId="168" fontId="15" fillId="7" borderId="6" xfId="13" applyNumberFormat="1" applyFont="1" applyFill="1" applyBorder="1" applyAlignment="1">
      <alignment vertical="center"/>
    </xf>
    <xf numFmtId="168" fontId="21" fillId="7" borderId="0" xfId="13" applyNumberFormat="1" applyFont="1" applyFill="1" applyBorder="1" applyAlignment="1">
      <alignment vertical="center"/>
    </xf>
    <xf numFmtId="168" fontId="15" fillId="7" borderId="5" xfId="13" applyNumberFormat="1" applyFont="1" applyFill="1" applyBorder="1" applyAlignment="1">
      <alignment vertical="center"/>
    </xf>
    <xf numFmtId="168" fontId="15" fillId="7" borderId="0" xfId="13" applyNumberFormat="1" applyFont="1" applyFill="1" applyBorder="1" applyAlignment="1">
      <alignment vertical="center"/>
    </xf>
    <xf numFmtId="168" fontId="15" fillId="7" borderId="7" xfId="13" applyNumberFormat="1" applyFont="1" applyFill="1" applyBorder="1" applyAlignment="1">
      <alignment vertical="center"/>
    </xf>
    <xf numFmtId="49" fontId="29" fillId="7" borderId="0" xfId="0" applyNumberFormat="1" applyFont="1" applyFill="1" applyBorder="1" applyAlignment="1">
      <alignment horizontal="left" indent="1"/>
    </xf>
    <xf numFmtId="49" fontId="29" fillId="7" borderId="0" xfId="0" applyNumberFormat="1" applyFont="1" applyFill="1" applyBorder="1" applyAlignment="1">
      <alignment horizontal="left" indent="3"/>
    </xf>
    <xf numFmtId="49" fontId="15" fillId="7" borderId="0" xfId="0" applyNumberFormat="1" applyFont="1" applyFill="1" applyBorder="1" applyAlignment="1">
      <alignment horizontal="left" indent="1"/>
    </xf>
    <xf numFmtId="0" fontId="0" fillId="0" borderId="0" xfId="0" applyBorder="1" applyAlignment="1">
      <alignment vertical="center"/>
    </xf>
    <xf numFmtId="0" fontId="31" fillId="0" borderId="8" xfId="0" applyNumberFormat="1" applyFont="1" applyFill="1" applyBorder="1" applyAlignment="1" applyProtection="1">
      <alignment horizontal="center" vertical="center"/>
    </xf>
    <xf numFmtId="49" fontId="15" fillId="7" borderId="0" xfId="0" applyNumberFormat="1" applyFont="1" applyFill="1" applyBorder="1" applyAlignment="1">
      <alignment horizontal="center" vertical="center"/>
    </xf>
    <xf numFmtId="0" fontId="30" fillId="0" borderId="0" xfId="0" applyFont="1" applyBorder="1" applyAlignment="1">
      <alignment horizontal="center" vertical="center"/>
    </xf>
    <xf numFmtId="49" fontId="15" fillId="7" borderId="4" xfId="0" applyNumberFormat="1" applyFont="1" applyFill="1" applyBorder="1" applyAlignment="1">
      <alignment horizontal="center" vertical="center"/>
    </xf>
    <xf numFmtId="0" fontId="30" fillId="0" borderId="0" xfId="0" applyFont="1" applyFill="1" applyBorder="1" applyAlignment="1">
      <alignment horizontal="center" vertical="center"/>
    </xf>
    <xf numFmtId="169" fontId="15" fillId="0" borderId="0" xfId="0" applyNumberFormat="1" applyFont="1" applyFill="1" applyBorder="1" applyAlignment="1">
      <alignment horizontal="left" indent="1"/>
    </xf>
    <xf numFmtId="170" fontId="15" fillId="0" borderId="0" xfId="0" applyNumberFormat="1" applyFont="1" applyFill="1" applyBorder="1" applyAlignment="1">
      <alignment horizontal="left"/>
    </xf>
    <xf numFmtId="170" fontId="0" fillId="2" borderId="0" xfId="0" applyNumberFormat="1" applyFill="1" applyAlignment="1"/>
    <xf numFmtId="170" fontId="0" fillId="3" borderId="0" xfId="0" applyNumberFormat="1" applyFill="1" applyAlignment="1">
      <alignment horizontal="left" indent="1"/>
    </xf>
    <xf numFmtId="170" fontId="15" fillId="0" borderId="0" xfId="0" applyNumberFormat="1" applyFont="1" applyFill="1" applyBorder="1" applyAlignment="1">
      <alignment horizontal="left" indent="2"/>
    </xf>
    <xf numFmtId="170" fontId="15" fillId="0" borderId="0" xfId="0" applyNumberFormat="1" applyFont="1" applyFill="1" applyBorder="1" applyAlignment="1">
      <alignment horizontal="left" indent="1"/>
    </xf>
    <xf numFmtId="169" fontId="29" fillId="0" borderId="0" xfId="0" applyNumberFormat="1" applyFont="1" applyFill="1" applyBorder="1" applyAlignment="1">
      <alignment horizontal="left" indent="3"/>
    </xf>
    <xf numFmtId="170" fontId="15" fillId="7" borderId="0" xfId="0" applyNumberFormat="1" applyFont="1" applyFill="1" applyBorder="1" applyAlignment="1">
      <alignment horizontal="left" indent="2"/>
    </xf>
    <xf numFmtId="170" fontId="15" fillId="7" borderId="0" xfId="0" applyNumberFormat="1" applyFont="1" applyFill="1" applyBorder="1" applyAlignment="1">
      <alignment horizontal="left" indent="1"/>
    </xf>
    <xf numFmtId="170" fontId="15" fillId="7" borderId="0" xfId="0" applyNumberFormat="1" applyFont="1" applyFill="1" applyBorder="1" applyAlignment="1">
      <alignment horizontal="left"/>
    </xf>
    <xf numFmtId="169" fontId="29" fillId="7" borderId="0" xfId="0" applyNumberFormat="1" applyFont="1" applyFill="1" applyBorder="1" applyAlignment="1">
      <alignment horizontal="left" indent="3"/>
    </xf>
    <xf numFmtId="169" fontId="15" fillId="7" borderId="0" xfId="0" applyNumberFormat="1" applyFont="1" applyFill="1" applyBorder="1" applyAlignment="1">
      <alignment horizontal="left" indent="1"/>
    </xf>
  </cellXfs>
  <cellStyles count="17">
    <cellStyle name="Comma" xfId="1" builtinId="3"/>
    <cellStyle name="Comma [0] 2" xfId="2" xr:uid="{00000000-0005-0000-0000-000001000000}"/>
    <cellStyle name="Comma [0] 3" xfId="3" xr:uid="{00000000-0005-0000-0000-000002000000}"/>
    <cellStyle name="Comma 2" xfId="4" xr:uid="{00000000-0005-0000-0000-000003000000}"/>
    <cellStyle name="Comma 3" xfId="5" xr:uid="{00000000-0005-0000-0000-000004000000}"/>
    <cellStyle name="Comma 4" xfId="6" xr:uid="{00000000-0005-0000-0000-000005000000}"/>
    <cellStyle name="Comma 5" xfId="7" xr:uid="{00000000-0005-0000-0000-000006000000}"/>
    <cellStyle name="Currency 2" xfId="8" xr:uid="{00000000-0005-0000-0000-000007000000}"/>
    <cellStyle name="Normal" xfId="0" builtinId="0"/>
    <cellStyle name="Normal 2" xfId="9" xr:uid="{00000000-0005-0000-0000-000009000000}"/>
    <cellStyle name="Normal 3" xfId="10" xr:uid="{00000000-0005-0000-0000-00000A000000}"/>
    <cellStyle name="Normal 4" xfId="11" xr:uid="{00000000-0005-0000-0000-00000B000000}"/>
    <cellStyle name="Normal 5" xfId="12" xr:uid="{00000000-0005-0000-0000-00000C000000}"/>
    <cellStyle name="Percent" xfId="13" builtinId="5"/>
    <cellStyle name="Percent 2" xfId="14" xr:uid="{00000000-0005-0000-0000-00000E000000}"/>
    <cellStyle name="Percent 3" xfId="15" xr:uid="{00000000-0005-0000-0000-00000F000000}"/>
    <cellStyle name="Percent 4" xfId="16" xr:uid="{00000000-0005-0000-0000-000010000000}"/>
  </cellStyles>
  <dxfs count="0"/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0A589C"/>
      <rgbColor rgb="00888FAC"/>
      <rgbColor rgb="000000FF"/>
      <rgbColor rgb="00830E17"/>
      <rgbColor rgb="00CDB79E"/>
      <rgbColor rgb="0095B3D7"/>
      <rgbColor rgb="00800000"/>
      <rgbColor rgb="000F3F6A"/>
      <rgbColor rgb="00000080"/>
      <rgbColor rgb="00808000"/>
      <rgbColor rgb="00800080"/>
      <rgbColor rgb="00DBE5F1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BDD6E7"/>
      <rgbColor rgb="00F8F8F8"/>
      <rgbColor rgb="00B7D2EC"/>
      <rgbColor rgb="00E7E5E5"/>
      <rgbColor rgb="003366FF"/>
      <rgbColor rgb="00B8CCE4"/>
      <rgbColor rgb="00E5E5E5"/>
      <rgbColor rgb="00B6DDF1"/>
      <rgbColor rgb="0099AACC"/>
      <rgbColor rgb="00E56565"/>
      <rgbColor rgb="00666699"/>
      <rgbColor rgb="00969696"/>
      <rgbColor rgb="0039CF08"/>
      <rgbColor rgb="00FFFAFA"/>
      <rgbColor rgb="00D6595A"/>
      <rgbColor rgb="00DAD8D8"/>
      <rgbColor rgb="00993300"/>
      <rgbColor rgb="00DFEEFA"/>
      <rgbColor rgb="00333399"/>
      <rgbColor rgb="00333333"/>
    </indexedColors>
    <mruColors>
      <color rgb="FF0296DF"/>
      <color rgb="FFF3AB40"/>
      <color rgb="FF8BC43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image" Target="file:///C:\TM1Models\SmartCo\Reports\Logo\logo.png" TargetMode="External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2</xdr:col>
      <xdr:colOff>19050</xdr:colOff>
      <xdr:row>9</xdr:row>
      <xdr:rowOff>38100</xdr:rowOff>
    </xdr:from>
    <xdr:ext cx="8964930" cy="298800"/>
    <xdr:sp macro="" textlink="">
      <xdr:nvSpPr>
        <xdr:cNvPr id="5" name="Rectangle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SpPr/>
      </xdr:nvSpPr>
      <xdr:spPr>
        <a:xfrm>
          <a:off x="118110" y="38100"/>
          <a:ext cx="8964930" cy="298800"/>
        </a:xfrm>
        <a:prstGeom prst="rect">
          <a:avLst/>
        </a:prstGeom>
        <a:blipFill>
          <a:blip xmlns:r="http://schemas.openxmlformats.org/officeDocument/2006/relationships" r:embed="rId1"/>
          <a:stretch>
            <a:fillRect/>
          </a:stretch>
        </a:blip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overflow" horzOverflow="overflow" wrap="square" rtlCol="0" anchor="t">
          <a:spAutoFit/>
        </a:bodyPr>
        <a:lstStyle/>
        <a:p>
          <a:pPr algn="l"/>
          <a:r>
            <a:rPr lang="en-US" sz="1400" b="1" i="0" baseline="0">
              <a:latin typeface="Arial" panose="020B0604020202020204" pitchFamily="34" charset="0"/>
            </a:rPr>
            <a:t>Top Down Target Plan</a:t>
          </a:r>
        </a:p>
      </xdr:txBody>
    </xdr:sp>
    <xdr:clientData/>
  </xdr:oneCellAnchor>
  <xdr:twoCellAnchor editAs="oneCell">
    <xdr:from>
      <xdr:col>7</xdr:col>
      <xdr:colOff>335280</xdr:colOff>
      <xdr:row>10</xdr:row>
      <xdr:rowOff>22860</xdr:rowOff>
    </xdr:from>
    <xdr:to>
      <xdr:col>7</xdr:col>
      <xdr:colOff>1524000</xdr:colOff>
      <xdr:row>10</xdr:row>
      <xdr:rowOff>297180</xdr:rowOff>
    </xdr:to>
    <xdr:sp macro="Sheet2.ExecuteAction_acdbb011_ce88_40f5_9115_68d9c9f678a8" textlink="">
      <xdr:nvSpPr>
        <xdr:cNvPr id="2" name="TM1Button_acdbb011_ce88_40f5_9115_68d9c9f678a8">
          <a:extLst>
            <a:ext uri="{FF2B5EF4-FFF2-40B4-BE49-F238E27FC236}">
              <a16:creationId xmlns:a16="http://schemas.microsoft.com/office/drawing/2014/main" id="{67EDFEFC-53FC-4297-ADD5-61EF54B12206}"/>
            </a:ext>
          </a:extLst>
        </xdr:cNvPr>
        <xdr:cNvSpPr txBox="1"/>
      </xdr:nvSpPr>
      <xdr:spPr>
        <a:xfrm>
          <a:off x="6576060" y="426720"/>
          <a:ext cx="1188720" cy="274320"/>
        </a:xfrm>
        <a:prstGeom prst="rect">
          <a:avLst/>
        </a:prstGeom>
        <a:solidFill>
          <a:srgbClr val="0296DF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r>
            <a:rPr lang="en-US" sz="900" b="1" i="0" u="none" strike="noStrike">
              <a:solidFill>
                <a:srgbClr val="FFFFFF"/>
              </a:solidFill>
              <a:latin typeface="Arial" panose="020B0604020202020204" pitchFamily="34" charset="0"/>
            </a:rPr>
            <a:t>Refresh</a:t>
          </a:r>
        </a:p>
      </xdr:txBody>
    </xdr:sp>
    <xdr:clientData/>
  </xdr:twoCellAnchor>
  <xdr:twoCellAnchor editAs="oneCell">
    <xdr:from>
      <xdr:col>7</xdr:col>
      <xdr:colOff>1645920</xdr:colOff>
      <xdr:row>10</xdr:row>
      <xdr:rowOff>22860</xdr:rowOff>
    </xdr:from>
    <xdr:to>
      <xdr:col>8</xdr:col>
      <xdr:colOff>15240</xdr:colOff>
      <xdr:row>10</xdr:row>
      <xdr:rowOff>297180</xdr:rowOff>
    </xdr:to>
    <xdr:sp macro="Sheet2.ExecuteAction_063ffaa4_38e8_4fa5_93e0_a310ed2b183e" textlink="">
      <xdr:nvSpPr>
        <xdr:cNvPr id="3" name="TM1Button_063ffaa4_38e8_4fa5_93e0_a310ed2b183e">
          <a:extLst>
            <a:ext uri="{FF2B5EF4-FFF2-40B4-BE49-F238E27FC236}">
              <a16:creationId xmlns:a16="http://schemas.microsoft.com/office/drawing/2014/main" id="{9CD08878-8F99-4835-A5E8-A666CC257CF1}"/>
            </a:ext>
          </a:extLst>
        </xdr:cNvPr>
        <xdr:cNvSpPr txBox="1"/>
      </xdr:nvSpPr>
      <xdr:spPr>
        <a:xfrm>
          <a:off x="7886700" y="426720"/>
          <a:ext cx="1188720" cy="274320"/>
        </a:xfrm>
        <a:prstGeom prst="rect">
          <a:avLst/>
        </a:prstGeom>
        <a:solidFill>
          <a:srgbClr val="0296DF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r>
            <a:rPr lang="en-US" sz="900" b="1" i="0" u="none" strike="noStrike">
              <a:solidFill>
                <a:srgbClr val="FFFFFF"/>
              </a:solidFill>
              <a:latin typeface="Arial" panose="020B0604020202020204" pitchFamily="34" charset="0"/>
            </a:rPr>
            <a:t>Copy Version</a:t>
          </a:r>
        </a:p>
      </xdr:txBody>
    </xdr:sp>
    <xdr:clientData/>
  </xdr:twoCellAnchor>
  <xdr:twoCellAnchor editAs="oneCell">
    <xdr:from>
      <xdr:col>5</xdr:col>
      <xdr:colOff>1036320</xdr:colOff>
      <xdr:row>10</xdr:row>
      <xdr:rowOff>22860</xdr:rowOff>
    </xdr:from>
    <xdr:to>
      <xdr:col>7</xdr:col>
      <xdr:colOff>213360</xdr:colOff>
      <xdr:row>10</xdr:row>
      <xdr:rowOff>297180</xdr:rowOff>
    </xdr:to>
    <xdr:sp macro="Sheet2.ExecuteAction_b63699c2_ac7b_4d8f_bca9_97e929afca1c" textlink="">
      <xdr:nvSpPr>
        <xdr:cNvPr id="4" name="TM1Button_b63699c2_ac7b_4d8f_bca9_97e929afca1c">
          <a:extLst>
            <a:ext uri="{FF2B5EF4-FFF2-40B4-BE49-F238E27FC236}">
              <a16:creationId xmlns:a16="http://schemas.microsoft.com/office/drawing/2014/main" id="{9DDDF546-74E5-4BCE-BE46-073F8DC9F9B0}"/>
            </a:ext>
          </a:extLst>
        </xdr:cNvPr>
        <xdr:cNvSpPr txBox="1"/>
      </xdr:nvSpPr>
      <xdr:spPr>
        <a:xfrm>
          <a:off x="5265420" y="426720"/>
          <a:ext cx="1188720" cy="274320"/>
        </a:xfrm>
        <a:prstGeom prst="rect">
          <a:avLst/>
        </a:prstGeom>
        <a:solidFill>
          <a:srgbClr val="0296DF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r>
            <a:rPr lang="en-US" sz="900" b="1" i="0" u="none" strike="noStrike">
              <a:solidFill>
                <a:srgbClr val="FFFFFF"/>
              </a:solidFill>
              <a:latin typeface="Arial" panose="020B0604020202020204" pitchFamily="34" charset="0"/>
            </a:rPr>
            <a:t>Drill to Acct Detail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76200</xdr:colOff>
      <xdr:row>0</xdr:row>
      <xdr:rowOff>0</xdr:rowOff>
    </xdr:from>
    <xdr:ext cx="8945880" cy="298800"/>
    <xdr:sp macro="" textlink="">
      <xdr:nvSpPr>
        <xdr:cNvPr id="4" name="Rectangle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SpPr/>
      </xdr:nvSpPr>
      <xdr:spPr>
        <a:xfrm>
          <a:off x="76200" y="0"/>
          <a:ext cx="8945880" cy="298800"/>
        </a:xfrm>
        <a:prstGeom prst="rect">
          <a:avLst/>
        </a:prstGeom>
        <a:blipFill>
          <a:blip xmlns:r="http://schemas.openxmlformats.org/officeDocument/2006/relationships" r:embed="rId1"/>
          <a:stretch>
            <a:fillRect/>
          </a:stretch>
        </a:blip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overflow" horzOverflow="overflow" wrap="square" rtlCol="0" anchor="t">
          <a:spAutoFit/>
        </a:bodyPr>
        <a:lstStyle/>
        <a:p>
          <a:pPr algn="l"/>
          <a:r>
            <a:rPr lang="en-US" sz="1400" b="1" i="0" baseline="0">
              <a:latin typeface="Arial" panose="020B0604020202020204" pitchFamily="34" charset="0"/>
            </a:rPr>
            <a:t>Target by Month ($000)</a:t>
          </a:r>
        </a:p>
      </xdr:txBody>
    </xdr:sp>
    <xdr:clientData/>
  </xdr:oneCellAnchor>
  <xdr:twoCellAnchor editAs="oneCell">
    <xdr:from>
      <xdr:col>11</xdr:col>
      <xdr:colOff>99060</xdr:colOff>
      <xdr:row>9</xdr:row>
      <xdr:rowOff>350520</xdr:rowOff>
    </xdr:from>
    <xdr:to>
      <xdr:col>13</xdr:col>
      <xdr:colOff>236220</xdr:colOff>
      <xdr:row>10</xdr:row>
      <xdr:rowOff>236220</xdr:rowOff>
    </xdr:to>
    <xdr:sp macro="Sheet1.ExecuteAction_8b92ad8f_7ae2_433d_9c94_3f10ae8f3c64" textlink="">
      <xdr:nvSpPr>
        <xdr:cNvPr id="2" name="TM1Button_8b92ad8f_7ae2_433d_9c94_3f10ae8f3c64">
          <a:extLst>
            <a:ext uri="{FF2B5EF4-FFF2-40B4-BE49-F238E27FC236}">
              <a16:creationId xmlns:a16="http://schemas.microsoft.com/office/drawing/2014/main" id="{29EBF481-C66B-448C-8BB2-90191765522F}"/>
            </a:ext>
          </a:extLst>
        </xdr:cNvPr>
        <xdr:cNvSpPr txBox="1"/>
      </xdr:nvSpPr>
      <xdr:spPr>
        <a:xfrm>
          <a:off x="6431280" y="350520"/>
          <a:ext cx="1188720" cy="274320"/>
        </a:xfrm>
        <a:prstGeom prst="rect">
          <a:avLst/>
        </a:prstGeom>
        <a:solidFill>
          <a:srgbClr val="0296DF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r>
            <a:rPr lang="en-US" sz="900" b="1" i="0" u="none" strike="noStrike">
              <a:solidFill>
                <a:srgbClr val="FFFFFF"/>
              </a:solidFill>
              <a:latin typeface="Arial" panose="020B0604020202020204" pitchFamily="34" charset="0"/>
            </a:rPr>
            <a:t>Drill to Acct Detail</a:t>
          </a:r>
        </a:p>
      </xdr:txBody>
    </xdr:sp>
    <xdr:clientData/>
  </xdr:twoCellAnchor>
  <xdr:twoCellAnchor editAs="oneCell">
    <xdr:from>
      <xdr:col>13</xdr:col>
      <xdr:colOff>365760</xdr:colOff>
      <xdr:row>9</xdr:row>
      <xdr:rowOff>350520</xdr:rowOff>
    </xdr:from>
    <xdr:to>
      <xdr:col>15</xdr:col>
      <xdr:colOff>502920</xdr:colOff>
      <xdr:row>10</xdr:row>
      <xdr:rowOff>236220</xdr:rowOff>
    </xdr:to>
    <xdr:sp macro="Sheet1.ExecuteAction_a58c76d8_ddf4_41e0_b9df_f7fd7a6afd29" textlink="">
      <xdr:nvSpPr>
        <xdr:cNvPr id="3" name="TM1Button_a58c76d8_ddf4_41e0_b9df_f7fd7a6afd29">
          <a:extLst>
            <a:ext uri="{FF2B5EF4-FFF2-40B4-BE49-F238E27FC236}">
              <a16:creationId xmlns:a16="http://schemas.microsoft.com/office/drawing/2014/main" id="{AAA7DAAB-CE49-495A-AA34-4B5D2E31C543}"/>
            </a:ext>
          </a:extLst>
        </xdr:cNvPr>
        <xdr:cNvSpPr txBox="1"/>
      </xdr:nvSpPr>
      <xdr:spPr>
        <a:xfrm>
          <a:off x="7749540" y="350520"/>
          <a:ext cx="1188720" cy="274320"/>
        </a:xfrm>
        <a:prstGeom prst="rect">
          <a:avLst/>
        </a:prstGeom>
        <a:solidFill>
          <a:srgbClr val="0296DF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r>
            <a:rPr lang="en-US" sz="900" b="1" i="0" u="none" strike="noStrike">
              <a:solidFill>
                <a:srgbClr val="FFFFFF"/>
              </a:solidFill>
              <a:latin typeface="Arial" panose="020B0604020202020204" pitchFamily="34" charset="0"/>
            </a:rPr>
            <a:t>Refresh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66675</xdr:colOff>
      <xdr:row>9</xdr:row>
      <xdr:rowOff>28575</xdr:rowOff>
    </xdr:from>
    <xdr:ext cx="7865745" cy="298800"/>
    <xdr:sp macro="" textlink="">
      <xdr:nvSpPr>
        <xdr:cNvPr id="3" name="Rectangle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SpPr/>
      </xdr:nvSpPr>
      <xdr:spPr>
        <a:xfrm>
          <a:off x="66675" y="28575"/>
          <a:ext cx="7865745" cy="298800"/>
        </a:xfrm>
        <a:prstGeom prst="rect">
          <a:avLst/>
        </a:prstGeom>
        <a:blipFill>
          <a:blip xmlns:r="http://schemas.openxmlformats.org/officeDocument/2006/relationships" r:embed="rId1"/>
          <a:stretch>
            <a:fillRect/>
          </a:stretch>
        </a:blip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overflow" horzOverflow="overflow" wrap="square" rtlCol="0" anchor="t">
          <a:spAutoFit/>
        </a:bodyPr>
        <a:lstStyle/>
        <a:p>
          <a:pPr algn="l"/>
          <a:r>
            <a:rPr lang="en-US" sz="1400" b="1" i="0" baseline="0">
              <a:latin typeface="Arial" panose="020B0604020202020204" pitchFamily="34" charset="0"/>
            </a:rPr>
            <a:t>Target by Organization</a:t>
          </a:r>
        </a:p>
      </xdr:txBody>
    </xdr:sp>
    <xdr:clientData/>
  </xdr:oneCellAnchor>
  <xdr:twoCellAnchor editAs="oneCell">
    <xdr:from>
      <xdr:col>7</xdr:col>
      <xdr:colOff>579120</xdr:colOff>
      <xdr:row>10</xdr:row>
      <xdr:rowOff>0</xdr:rowOff>
    </xdr:from>
    <xdr:to>
      <xdr:col>7</xdr:col>
      <xdr:colOff>1767840</xdr:colOff>
      <xdr:row>10</xdr:row>
      <xdr:rowOff>274320</xdr:rowOff>
    </xdr:to>
    <xdr:sp macro="Sheet3.ExecuteAction_87bb1671_5863_4fe9_9f7c_083a4f8bb4b7" textlink="">
      <xdr:nvSpPr>
        <xdr:cNvPr id="2" name="TM1Button_87bb1671_5863_4fe9_9f7c_083a4f8bb4b7">
          <a:extLst>
            <a:ext uri="{FF2B5EF4-FFF2-40B4-BE49-F238E27FC236}">
              <a16:creationId xmlns:a16="http://schemas.microsoft.com/office/drawing/2014/main" id="{E99AF1B9-5FB7-4D96-93DC-E43317BFB50D}"/>
            </a:ext>
          </a:extLst>
        </xdr:cNvPr>
        <xdr:cNvSpPr txBox="1"/>
      </xdr:nvSpPr>
      <xdr:spPr>
        <a:xfrm>
          <a:off x="6675120" y="365760"/>
          <a:ext cx="1188720" cy="274320"/>
        </a:xfrm>
        <a:prstGeom prst="rect">
          <a:avLst/>
        </a:prstGeom>
        <a:solidFill>
          <a:srgbClr val="0296DF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r>
            <a:rPr lang="en-US" sz="900" b="1" i="0" u="none" strike="noStrike">
              <a:solidFill>
                <a:srgbClr val="FFFFFF"/>
              </a:solidFill>
              <a:latin typeface="Arial" panose="020B0604020202020204" pitchFamily="34" charset="0"/>
            </a:rPr>
            <a:t>Refresh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0</xdr:colOff>
      <xdr:row>1</xdr:row>
      <xdr:rowOff>0</xdr:rowOff>
    </xdr:from>
    <xdr:to>
      <xdr:col>2</xdr:col>
      <xdr:colOff>0</xdr:colOff>
      <xdr:row>1</xdr:row>
      <xdr:rowOff>190500</xdr:rowOff>
    </xdr:to>
    <xdr:pic>
      <xdr:nvPicPr>
        <xdr:cNvPr id="6171" name="Picture 1" descr="C:\TM1Models\SmartCo\Reports\Logo\logo.png">
          <a:extLst>
            <a:ext uri="{FF2B5EF4-FFF2-40B4-BE49-F238E27FC236}">
              <a16:creationId xmlns:a16="http://schemas.microsoft.com/office/drawing/2014/main" id="{00000000-0008-0000-0300-00001B1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066925" y="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oneCellAnchor>
    <xdr:from>
      <xdr:col>1</xdr:col>
      <xdr:colOff>19050</xdr:colOff>
      <xdr:row>1</xdr:row>
      <xdr:rowOff>19050</xdr:rowOff>
    </xdr:from>
    <xdr:ext cx="6800850" cy="298800"/>
    <xdr:sp macro="" textlink="">
      <xdr:nvSpPr>
        <xdr:cNvPr id="3" name="Rectangle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SpPr/>
      </xdr:nvSpPr>
      <xdr:spPr>
        <a:xfrm>
          <a:off x="110490" y="19050"/>
          <a:ext cx="6800850" cy="298800"/>
        </a:xfrm>
        <a:prstGeom prst="rect">
          <a:avLst/>
        </a:prstGeom>
        <a:blipFill>
          <a:blip xmlns:r="http://schemas.openxmlformats.org/officeDocument/2006/relationships" r:embed="rId2"/>
          <a:stretch>
            <a:fillRect/>
          </a:stretch>
        </a:blip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overflow" horzOverflow="overflow" wrap="square" rtlCol="0" anchor="t">
          <a:spAutoFit/>
        </a:bodyPr>
        <a:lstStyle/>
        <a:p>
          <a:pPr algn="l"/>
          <a:r>
            <a:rPr lang="en-US" sz="1400" b="1" i="0" baseline="0">
              <a:latin typeface="Arial" panose="020B0604020202020204" pitchFamily="34" charset="0"/>
            </a:rPr>
            <a:t>Summary P&amp;L</a:t>
          </a:r>
        </a:p>
      </xdr:txBody>
    </xdr:sp>
    <xdr:clientData/>
  </xdr:one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customProperty" Target="../customProperty1.bin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customProperty" Target="../customProperty2.bin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customProperty" Target="../customProperty3.bin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/>
  <dimension ref="A1:GW30"/>
  <sheetViews>
    <sheetView showGridLines="0" showRowColHeaders="0" tabSelected="1" topLeftCell="B13" workbookViewId="0">
      <selection activeCell="H20" sqref="H20"/>
    </sheetView>
  </sheetViews>
  <sheetFormatPr defaultRowHeight="14.4" x14ac:dyDescent="0.3"/>
  <cols>
    <col min="1" max="1" width="2.6640625" hidden="1" customWidth="1"/>
    <col min="2" max="2" width="1.44140625" customWidth="1"/>
    <col min="3" max="3" width="28.88671875" customWidth="1"/>
    <col min="4" max="6" width="15.6640625" customWidth="1"/>
    <col min="7" max="7" width="13.6640625" customWidth="1"/>
    <col min="8" max="8" width="41.109375" customWidth="1"/>
  </cols>
  <sheetData>
    <row r="1" spans="1:205" s="19" customFormat="1" ht="15.6" hidden="1" x14ac:dyDescent="0.3">
      <c r="A1" s="19" t="s">
        <v>9</v>
      </c>
      <c r="D1" s="20"/>
      <c r="E1" s="20"/>
      <c r="F1" s="20"/>
      <c r="G1" s="20"/>
      <c r="H1" s="20"/>
    </row>
    <row r="2" spans="1:205" s="19" customFormat="1" hidden="1" x14ac:dyDescent="0.3">
      <c r="A2" s="19">
        <f>0</f>
        <v>0</v>
      </c>
      <c r="C2" s="60"/>
      <c r="D2" s="66"/>
      <c r="E2" s="50"/>
      <c r="F2" s="67"/>
      <c r="G2" s="68"/>
      <c r="H2" s="22"/>
    </row>
    <row r="3" spans="1:205" s="19" customFormat="1" hidden="1" x14ac:dyDescent="0.3">
      <c r="A3" s="19">
        <f>1</f>
        <v>1</v>
      </c>
      <c r="C3" s="60"/>
      <c r="D3" s="66"/>
      <c r="E3" s="50"/>
      <c r="F3" s="67"/>
      <c r="G3" s="68"/>
      <c r="H3" s="22"/>
    </row>
    <row r="4" spans="1:205" s="19" customFormat="1" hidden="1" x14ac:dyDescent="0.3">
      <c r="A4" s="19">
        <f>2</f>
        <v>2</v>
      </c>
      <c r="C4" s="60"/>
      <c r="D4" s="66"/>
      <c r="E4" s="50"/>
      <c r="F4" s="67"/>
      <c r="G4" s="68">
        <v>50</v>
      </c>
      <c r="H4" s="22"/>
    </row>
    <row r="5" spans="1:205" s="19" customFormat="1" hidden="1" x14ac:dyDescent="0.3">
      <c r="A5" s="19">
        <f>3</f>
        <v>3</v>
      </c>
      <c r="C5" s="61"/>
      <c r="D5" s="62"/>
      <c r="E5" s="48"/>
      <c r="F5" s="63"/>
      <c r="G5" s="64"/>
      <c r="H5" s="22"/>
    </row>
    <row r="6" spans="1:205" s="19" customFormat="1" hidden="1" x14ac:dyDescent="0.3">
      <c r="A6" s="19" t="s">
        <v>7</v>
      </c>
      <c r="C6" s="61"/>
      <c r="D6" s="62"/>
      <c r="E6" s="48"/>
      <c r="F6" s="63"/>
      <c r="G6" s="64"/>
      <c r="H6" s="22"/>
    </row>
    <row r="7" spans="1:205" s="19" customFormat="1" hidden="1" x14ac:dyDescent="0.3">
      <c r="A7" s="19" t="s">
        <v>8</v>
      </c>
      <c r="C7" s="61"/>
      <c r="D7" s="62"/>
      <c r="E7" s="48"/>
      <c r="F7" s="63"/>
      <c r="G7" s="64"/>
      <c r="H7" s="22"/>
    </row>
    <row r="8" spans="1:205" s="19" customFormat="1" hidden="1" x14ac:dyDescent="0.3">
      <c r="A8" s="19" t="s">
        <v>10</v>
      </c>
      <c r="C8" s="21"/>
      <c r="D8" s="48"/>
      <c r="E8" s="48"/>
      <c r="F8" s="48" t="e">
        <f>IF(#REF!&lt;&gt;"","{TM1FILTERBYPATTERN( {TM1SUBSETALL( [Account] )}, """&amp;#REF!&amp;""")}","")</f>
        <v>#REF!</v>
      </c>
      <c r="G8" s="48">
        <f>VLOOKUP($G$13,Lookup!$D$2:$E$3,2,0)</f>
        <v>0</v>
      </c>
      <c r="H8" s="22"/>
    </row>
    <row r="9" spans="1:205" s="19" customFormat="1" hidden="1" x14ac:dyDescent="0.3">
      <c r="C9" s="19" t="str">
        <f>_xll.TM1RPTVIEW("24retail:Income Statement:1", $G$8, _xll.TM1RPTTITLE("24retail:Currency Calc",$D$13), _xll.TM1RPTTITLE("24retail:organization",$C$13), _xll.TM1RPTTITLE("24retail:Year",$F$13), _xll.TM1RPTTITLE("24retail:Month",$E$13),TM1RPTFMTRNG,TM1RPTFMTIDCOL)</f>
        <v>24retail:Income Statement:1</v>
      </c>
      <c r="D9" s="22"/>
      <c r="E9" s="22"/>
      <c r="F9" s="22"/>
      <c r="G9" s="22"/>
      <c r="H9" s="22"/>
    </row>
    <row r="10" spans="1:205" ht="32.25" customHeight="1" thickBot="1" x14ac:dyDescent="0.35">
      <c r="A10" s="14"/>
      <c r="B10" s="23"/>
      <c r="C10" s="57"/>
      <c r="D10" s="58"/>
      <c r="E10" s="58"/>
      <c r="F10" s="58"/>
      <c r="G10" s="58"/>
      <c r="H10" s="58"/>
    </row>
    <row r="11" spans="1:205" ht="36.75" customHeight="1" x14ac:dyDescent="0.3"/>
    <row r="12" spans="1:205" s="37" customFormat="1" ht="15" customHeight="1" x14ac:dyDescent="0.2">
      <c r="A12" s="36"/>
      <c r="B12" s="36"/>
      <c r="C12" s="55" t="s">
        <v>11</v>
      </c>
      <c r="D12" s="56" t="s">
        <v>12</v>
      </c>
      <c r="E12" s="56" t="s">
        <v>2</v>
      </c>
      <c r="F12" s="56" t="s">
        <v>3</v>
      </c>
      <c r="G12" s="56" t="s">
        <v>92</v>
      </c>
      <c r="H12" s="55" t="s">
        <v>13</v>
      </c>
    </row>
    <row r="13" spans="1:205" s="39" customFormat="1" ht="15" customHeight="1" x14ac:dyDescent="0.2">
      <c r="A13" s="38"/>
      <c r="B13" s="38"/>
      <c r="C13" s="59" t="str">
        <f>_xll.SUBNM("24retail:organization","Workflow","Total Company","Caption_Default")</f>
        <v>Total Company</v>
      </c>
      <c r="D13" s="59" t="str">
        <f>_xll.SUBNM("24retail:Currency Calc","Default","Local","")</f>
        <v>Local</v>
      </c>
      <c r="E13" s="59" t="str">
        <f>_xll.SUBNM("24retail:Month","MY","Year","")</f>
        <v>Year</v>
      </c>
      <c r="F13" s="59" t="str">
        <f>_xll.SUBNM("24retail:Year","Default","Y2","Caption_Default")</f>
        <v>2015</v>
      </c>
      <c r="G13" s="59" t="s">
        <v>16</v>
      </c>
      <c r="H13" s="59" t="str">
        <f>_xll.SUBNM("24retail:Version","",12,"Caption_Default")</f>
        <v>Target</v>
      </c>
    </row>
    <row r="14" spans="1:205" ht="6.75" customHeight="1" x14ac:dyDescent="0.3">
      <c r="A14" s="5"/>
      <c r="B14" s="5"/>
      <c r="C14" s="15"/>
      <c r="D14" s="15"/>
      <c r="E14" s="15"/>
      <c r="F14" s="15"/>
      <c r="G14" s="15"/>
      <c r="H14" s="16"/>
    </row>
    <row r="15" spans="1:205" ht="15" thickBot="1" x14ac:dyDescent="0.35">
      <c r="A15" s="5"/>
      <c r="B15" s="5"/>
      <c r="C15" s="70"/>
      <c r="D15" s="70" t="s">
        <v>17</v>
      </c>
      <c r="E15" s="70" t="s">
        <v>5</v>
      </c>
      <c r="F15" s="70" t="s">
        <v>18</v>
      </c>
      <c r="G15" s="70" t="s">
        <v>74</v>
      </c>
      <c r="H15" s="70" t="s">
        <v>19</v>
      </c>
      <c r="I15" s="5"/>
      <c r="J15" s="5"/>
      <c r="K15" s="5"/>
      <c r="L15" s="5"/>
      <c r="M15" s="5"/>
      <c r="N15" s="5"/>
      <c r="O15" s="5"/>
      <c r="P15" s="5"/>
      <c r="Q15" s="5"/>
      <c r="R15" s="5"/>
      <c r="S15" s="5"/>
      <c r="T15" s="5"/>
      <c r="U15" s="5"/>
      <c r="V15" s="5"/>
      <c r="W15" s="5"/>
      <c r="X15" s="5"/>
      <c r="Y15" s="5"/>
      <c r="Z15" s="5"/>
      <c r="AA15" s="5"/>
      <c r="AB15" s="5"/>
      <c r="AC15" s="5"/>
      <c r="AD15" s="5"/>
      <c r="AE15" s="5"/>
      <c r="AF15" s="5"/>
      <c r="AG15" s="5"/>
      <c r="AH15" s="5"/>
      <c r="AI15" s="5"/>
      <c r="AJ15" s="5"/>
      <c r="AK15" s="5"/>
      <c r="AL15" s="5"/>
      <c r="AM15" s="5"/>
      <c r="AN15" s="5"/>
      <c r="AO15" s="5"/>
      <c r="AP15" s="5"/>
      <c r="AQ15" s="5"/>
      <c r="AR15" s="5"/>
      <c r="AS15" s="5"/>
      <c r="AT15" s="5"/>
      <c r="AU15" s="5"/>
      <c r="AV15" s="5"/>
      <c r="AW15" s="5"/>
      <c r="AX15" s="5"/>
      <c r="AY15" s="5"/>
      <c r="AZ15" s="5"/>
      <c r="BA15" s="5"/>
      <c r="BB15" s="5"/>
      <c r="BC15" s="5"/>
      <c r="BD15" s="5"/>
      <c r="BE15" s="5"/>
      <c r="BF15" s="5"/>
      <c r="BG15" s="5"/>
      <c r="BH15" s="5"/>
      <c r="BI15" s="5"/>
      <c r="BJ15" s="5"/>
      <c r="BK15" s="5"/>
      <c r="BL15" s="5"/>
      <c r="BM15" s="5"/>
      <c r="BN15" s="5"/>
      <c r="BO15" s="5"/>
      <c r="BP15" s="5"/>
      <c r="BQ15" s="5"/>
      <c r="BR15" s="5"/>
      <c r="BS15" s="5"/>
      <c r="BT15" s="5"/>
      <c r="BU15" s="5"/>
      <c r="BV15" s="5"/>
      <c r="BW15" s="5"/>
      <c r="BX15" s="5"/>
      <c r="BY15" s="5"/>
      <c r="BZ15" s="5"/>
      <c r="CA15" s="5"/>
      <c r="CB15" s="5"/>
      <c r="CC15" s="5"/>
      <c r="CD15" s="5"/>
      <c r="CE15" s="5"/>
      <c r="CF15" s="5"/>
      <c r="CG15" s="5"/>
      <c r="CH15" s="5"/>
      <c r="CI15" s="5"/>
      <c r="CJ15" s="5"/>
      <c r="CK15" s="5"/>
      <c r="CL15" s="5"/>
      <c r="CM15" s="5"/>
      <c r="CN15" s="5"/>
      <c r="CO15" s="5"/>
      <c r="CP15" s="5"/>
      <c r="CQ15" s="5"/>
      <c r="CR15" s="5"/>
      <c r="CS15" s="5"/>
      <c r="CT15" s="5"/>
      <c r="CU15" s="5"/>
      <c r="CV15" s="5"/>
      <c r="CW15" s="5"/>
      <c r="CX15" s="5"/>
      <c r="CY15" s="5"/>
      <c r="CZ15" s="5"/>
      <c r="DA15" s="5"/>
      <c r="DB15" s="5"/>
      <c r="DC15" s="5"/>
      <c r="DD15" s="5"/>
      <c r="DE15" s="5"/>
      <c r="DF15" s="5"/>
      <c r="DG15" s="5"/>
      <c r="DH15" s="5"/>
      <c r="DI15" s="5"/>
      <c r="DJ15" s="5"/>
      <c r="DK15" s="5"/>
      <c r="DL15" s="5"/>
      <c r="DM15" s="5"/>
      <c r="DN15" s="5"/>
      <c r="DO15" s="5"/>
      <c r="DP15" s="5"/>
      <c r="DQ15" s="5"/>
      <c r="DR15" s="5"/>
      <c r="DS15" s="5"/>
      <c r="DT15" s="5"/>
      <c r="DU15" s="5"/>
      <c r="DV15" s="5"/>
      <c r="DW15" s="5"/>
      <c r="DX15" s="5"/>
      <c r="DY15" s="5"/>
      <c r="DZ15" s="5"/>
      <c r="EA15" s="5"/>
      <c r="EB15" s="5"/>
      <c r="EC15" s="5"/>
      <c r="ED15" s="5"/>
      <c r="EE15" s="5"/>
      <c r="EF15" s="5"/>
      <c r="EG15" s="5"/>
      <c r="EH15" s="5"/>
      <c r="EI15" s="5"/>
      <c r="EJ15" s="5"/>
      <c r="EK15" s="5"/>
      <c r="EL15" s="5"/>
      <c r="EM15" s="5"/>
      <c r="EN15" s="5"/>
      <c r="EO15" s="5"/>
      <c r="EP15" s="5"/>
      <c r="EQ15" s="5"/>
      <c r="ER15" s="5"/>
      <c r="ES15" s="5"/>
      <c r="ET15" s="5"/>
      <c r="EU15" s="5"/>
      <c r="EV15" s="5"/>
      <c r="EW15" s="5"/>
      <c r="EX15" s="5"/>
      <c r="EY15" s="5"/>
      <c r="EZ15" s="5"/>
      <c r="FA15" s="5"/>
      <c r="FB15" s="5"/>
      <c r="FC15" s="5"/>
      <c r="FD15" s="5"/>
      <c r="FE15" s="5"/>
      <c r="FF15" s="5"/>
      <c r="FG15" s="5"/>
      <c r="FH15" s="5"/>
      <c r="FI15" s="5"/>
      <c r="FJ15" s="5"/>
      <c r="FK15" s="5"/>
      <c r="FL15" s="5"/>
      <c r="FM15" s="5"/>
      <c r="FN15" s="5"/>
      <c r="FO15" s="5"/>
      <c r="FP15" s="5"/>
      <c r="FQ15" s="5"/>
      <c r="FR15" s="5"/>
      <c r="FS15" s="5"/>
      <c r="FT15" s="5"/>
      <c r="FU15" s="5"/>
      <c r="FV15" s="5"/>
      <c r="FW15" s="5"/>
      <c r="FX15" s="5"/>
      <c r="FY15" s="5"/>
      <c r="FZ15" s="5"/>
      <c r="GA15" s="5"/>
      <c r="GB15" s="5"/>
      <c r="GC15" s="5"/>
      <c r="GD15" s="5"/>
      <c r="GE15" s="5"/>
      <c r="GF15" s="5"/>
      <c r="GG15" s="5"/>
      <c r="GH15" s="5"/>
      <c r="GI15" s="5"/>
      <c r="GJ15" s="5"/>
      <c r="GK15" s="5"/>
      <c r="GL15" s="5"/>
      <c r="GM15" s="5"/>
      <c r="GN15" s="5"/>
      <c r="GO15" s="5"/>
      <c r="GP15" s="5"/>
      <c r="GQ15" s="5"/>
      <c r="GR15" s="5"/>
      <c r="GS15" s="5"/>
      <c r="GT15" s="5"/>
      <c r="GU15" s="5"/>
      <c r="GV15" s="5"/>
      <c r="GW15" s="5"/>
    </row>
    <row r="16" spans="1:205" ht="15" hidden="1" thickTop="1" x14ac:dyDescent="0.3">
      <c r="D16" s="69" t="s">
        <v>4</v>
      </c>
      <c r="E16" s="69" t="s">
        <v>5</v>
      </c>
      <c r="F16" s="69" t="s">
        <v>20</v>
      </c>
      <c r="G16" s="69" t="s">
        <v>76</v>
      </c>
      <c r="H16" s="69" t="s">
        <v>19</v>
      </c>
    </row>
    <row r="17" spans="1:8" s="19" customFormat="1" ht="15" thickTop="1" x14ac:dyDescent="0.3">
      <c r="A17" s="19" t="str">
        <f>IF(_xll.TM1RPTELISCONSOLIDATED($C$17,$C17),IF(_xll.TM1RPTELLEV($C$17,$C17)&lt;=3,_xll.TM1RPTELLEV($C$17,$C17),"D"),"N")</f>
        <v>N</v>
      </c>
      <c r="C17" s="65" t="str">
        <f>_xll.TM1RPTROW($C$9,"24retail:Account","Summary",,"Caption_Default",1)</f>
        <v>4999 Gross Revenue</v>
      </c>
      <c r="D17" s="62">
        <f>_xll.DBRW($C$9,$D$13,$C$13,$F$13,$E$13,$C17,D$16)</f>
        <v>92589659.236427188</v>
      </c>
      <c r="E17" s="48">
        <f>_xll.DBRW($C$9,$D$13,$C$13,$F$13,$E$13,$C17,E$16)</f>
        <v>42742435.803093538</v>
      </c>
      <c r="F17" s="63">
        <f>_xll.DBRW($C$9,$D$13,$C$13,$F$13,$E$13,$C17,F$16)</f>
        <v>-49847223.433333635</v>
      </c>
      <c r="G17" s="64">
        <f>_xll.DBRW($C$9,$D$13,$C$13,$F$13,$E$13,$C17,G$16)</f>
        <v>-53.836707005621044</v>
      </c>
      <c r="H17" s="22" t="str">
        <f>_xll.DBRW($C$9,$D$13,$C$13,$F$13,$E$13,$C17,H$16)</f>
        <v/>
      </c>
    </row>
    <row r="18" spans="1:8" s="19" customFormat="1" x14ac:dyDescent="0.3">
      <c r="A18" s="19" t="str">
        <f>IF(_xll.TM1RPTELISCONSOLIDATED($C$17,$C18),IF(_xll.TM1RPTELLEV($C$17,$C18)&lt;=3,_xll.TM1RPTELLEV($C$17,$C18),"D"),"N")</f>
        <v>N</v>
      </c>
      <c r="C18" s="65" t="s">
        <v>21</v>
      </c>
      <c r="D18" s="62">
        <f>_xll.DBRW($C$9,$D$13,$C$13,$F$13,$E$13,$C18,D$16)</f>
        <v>55020115.689027883</v>
      </c>
      <c r="E18" s="48">
        <f>_xll.DBRW($C$9,$D$13,$C$13,$F$13,$E$13,$C18,E$16)</f>
        <v>22837318.622888871</v>
      </c>
      <c r="F18" s="63">
        <f>_xll.DBRW($C$9,$D$13,$C$13,$F$13,$E$13,$C18,F$16)</f>
        <v>32182797.066139013</v>
      </c>
      <c r="G18" s="64">
        <f>_xll.DBRW($C$9,$D$13,$C$13,$F$13,$E$13,$C18,G$16)</f>
        <v>58.492783014377892</v>
      </c>
      <c r="H18" s="22" t="str">
        <f>_xll.DBRW($C$9,$D$13,$C$13,$F$13,$E$13,$C18,H$16)</f>
        <v/>
      </c>
    </row>
    <row r="19" spans="1:8" s="19" customFormat="1" x14ac:dyDescent="0.3">
      <c r="A19" s="19">
        <f>IF(_xll.TM1RPTELISCONSOLIDATED($C$17,$C19),IF(_xll.TM1RPTELLEV($C$17,$C19)&lt;=3,_xll.TM1RPTELLEV($C$17,$C19),"D"),"N")</f>
        <v>2</v>
      </c>
      <c r="C19" s="105" t="s">
        <v>22</v>
      </c>
      <c r="D19" s="66">
        <f>_xll.DBRW($C$9,$D$13,$C$13,$F$13,$E$13,$C19,D$16)</f>
        <v>37569543.547399305</v>
      </c>
      <c r="E19" s="50">
        <f>_xll.DBRW($C$9,$D$13,$C$13,$F$13,$E$13,$C19,E$16)</f>
        <v>19905117.180204667</v>
      </c>
      <c r="F19" s="67">
        <f>_xll.DBRW($C$9,$D$13,$C$13,$F$13,$E$13,$C19,F$16)</f>
        <v>-17664426.367194623</v>
      </c>
      <c r="G19" s="68">
        <f>_xll.DBRW($C$9,$D$13,$C$13,$F$13,$E$13,$C19,G$16)</f>
        <v>-47.017941892493084</v>
      </c>
      <c r="H19" s="22" t="str">
        <f>_xll.DBRW($C$9,$D$13,$C$13,$F$13,$E$13,$C19,H$16)</f>
        <v/>
      </c>
    </row>
    <row r="20" spans="1:8" s="19" customFormat="1" x14ac:dyDescent="0.3">
      <c r="A20" s="19">
        <f>IF(_xll.TM1RPTELISCONSOLIDATED($C$17,$C20),IF(_xll.TM1RPTELLEV($C$17,$C20)&lt;=3,_xll.TM1RPTELLEV($C$17,$C20),"D"),"N")</f>
        <v>3</v>
      </c>
      <c r="C20" s="107" t="s">
        <v>23</v>
      </c>
      <c r="D20" s="62">
        <f>_xll.DBRW($C$9,$D$13,$C$13,$F$13,$E$13,$C20,D$16)</f>
        <v>2663600.2813968216</v>
      </c>
      <c r="E20" s="48">
        <f>_xll.DBRW($C$9,$D$13,$C$13,$F$13,$E$13,$C20,E$16)</f>
        <v>1648935.500027223</v>
      </c>
      <c r="F20" s="63">
        <f>_xll.DBRW($C$9,$D$13,$C$13,$F$13,$E$13,$C20,F$16)</f>
        <v>1014664.7813695995</v>
      </c>
      <c r="G20" s="64">
        <f>_xll.DBRW($C$9,$D$13,$C$13,$F$13,$E$13,$C20,G$16)</f>
        <v>38.093737099023862</v>
      </c>
      <c r="H20" s="22" t="str">
        <f>_xll.DBRW($C$9,$D$13,$C$13,$F$13,$E$13,$C20,H$16)</f>
        <v/>
      </c>
    </row>
    <row r="21" spans="1:8" s="19" customFormat="1" x14ac:dyDescent="0.3">
      <c r="A21" s="19">
        <f>IF(_xll.TM1RPTELISCONSOLIDATED($C$17,$C21),IF(_xll.TM1RPTELLEV($C$17,$C21)&lt;=3,_xll.TM1RPTELLEV($C$17,$C21),"D"),"N")</f>
        <v>3</v>
      </c>
      <c r="C21" s="107" t="s">
        <v>24</v>
      </c>
      <c r="D21" s="62">
        <f>_xll.DBRW($C$9,$D$13,$C$13,$F$13,$E$13,$C21,D$16)</f>
        <v>660030.12528623524</v>
      </c>
      <c r="E21" s="48">
        <f>_xll.DBRW($C$9,$D$13,$C$13,$F$13,$E$13,$C21,E$16)</f>
        <v>264032.53924754675</v>
      </c>
      <c r="F21" s="63">
        <f>_xll.DBRW($C$9,$D$13,$C$13,$F$13,$E$13,$C21,F$16)</f>
        <v>395997.58603868849</v>
      </c>
      <c r="G21" s="64">
        <f>_xll.DBRW($C$9,$D$13,$C$13,$F$13,$E$13,$C21,G$16)</f>
        <v>59.996907116144492</v>
      </c>
      <c r="H21" s="22" t="str">
        <f>_xll.DBRW($C$9,$D$13,$C$13,$F$13,$E$13,$C21,H$16)</f>
        <v/>
      </c>
    </row>
    <row r="22" spans="1:8" s="19" customFormat="1" x14ac:dyDescent="0.3">
      <c r="A22" s="19">
        <f>IF(_xll.TM1RPTELISCONSOLIDATED($C$17,$C22),IF(_xll.TM1RPTELLEV($C$17,$C22)&lt;=3,_xll.TM1RPTELLEV($C$17,$C22),"D"),"N")</f>
        <v>3</v>
      </c>
      <c r="C22" s="107" t="s">
        <v>25</v>
      </c>
      <c r="D22" s="62">
        <f>_xll.DBRW($C$9,$D$13,$C$13,$F$13,$E$13,$C22,D$16)</f>
        <v>432392.09965876531</v>
      </c>
      <c r="E22" s="48">
        <f>_xll.DBRW($C$9,$D$13,$C$13,$F$13,$E$13,$C22,E$16)</f>
        <v>173253.02450705846</v>
      </c>
      <c r="F22" s="63">
        <f>_xll.DBRW($C$9,$D$13,$C$13,$F$13,$E$13,$C22,F$16)</f>
        <v>259139.07515170678</v>
      </c>
      <c r="G22" s="64">
        <f>_xll.DBRW($C$9,$D$13,$C$13,$F$13,$E$13,$C22,G$16)</f>
        <v>59.931514725459024</v>
      </c>
      <c r="H22" s="22" t="str">
        <f>_xll.DBRW($C$9,$D$13,$C$13,$F$13,$E$13,$C22,H$16)</f>
        <v/>
      </c>
    </row>
    <row r="23" spans="1:8" s="19" customFormat="1" x14ac:dyDescent="0.3">
      <c r="A23" s="19">
        <f>IF(_xll.TM1RPTELISCONSOLIDATED($C$17,$C23),IF(_xll.TM1RPTELLEV($C$17,$C23)&lt;=3,_xll.TM1RPTELLEV($C$17,$C23),"D"),"N")</f>
        <v>3</v>
      </c>
      <c r="C23" s="107" t="s">
        <v>26</v>
      </c>
      <c r="D23" s="62">
        <f>_xll.DBRW($C$9,$D$13,$C$13,$F$13,$E$13,$C23,D$16)</f>
        <v>3452082.5291492152</v>
      </c>
      <c r="E23" s="48">
        <f>_xll.DBRW($C$9,$D$13,$C$13,$F$13,$E$13,$C23,E$16)</f>
        <v>1328020.1984440302</v>
      </c>
      <c r="F23" s="63">
        <f>_xll.DBRW($C$9,$D$13,$C$13,$F$13,$E$13,$C23,F$16)</f>
        <v>2124062.330705185</v>
      </c>
      <c r="G23" s="64">
        <f>_xll.DBRW($C$9,$D$13,$C$13,$F$13,$E$13,$C23,G$16)</f>
        <v>61.529874302129613</v>
      </c>
      <c r="H23" s="22" t="str">
        <f>_xll.DBRW($C$9,$D$13,$C$13,$F$13,$E$13,$C23,H$16)</f>
        <v/>
      </c>
    </row>
    <row r="24" spans="1:8" s="19" customFormat="1" x14ac:dyDescent="0.3">
      <c r="A24" s="19">
        <f>IF(_xll.TM1RPTELISCONSOLIDATED($C$17,$C24),IF(_xll.TM1RPTELLEV($C$17,$C24)&lt;=3,_xll.TM1RPTELLEV($C$17,$C24),"D"),"N")</f>
        <v>3</v>
      </c>
      <c r="C24" s="107" t="s">
        <v>27</v>
      </c>
      <c r="D24" s="62">
        <f>_xll.DBRW($C$9,$D$13,$C$13,$F$13,$E$13,$C24,D$16)</f>
        <v>1004178.2214687511</v>
      </c>
      <c r="E24" s="48">
        <f>_xll.DBRW($C$9,$D$13,$C$13,$F$13,$E$13,$C24,E$16)</f>
        <v>421368.13733823766</v>
      </c>
      <c r="F24" s="63">
        <f>_xll.DBRW($C$9,$D$13,$C$13,$F$13,$E$13,$C24,F$16)</f>
        <v>582810.08413051348</v>
      </c>
      <c r="G24" s="64">
        <f>_xll.DBRW($C$9,$D$13,$C$13,$F$13,$E$13,$C24,G$16)</f>
        <v>58.038523462027001</v>
      </c>
      <c r="H24" s="22" t="str">
        <f>_xll.DBRW($C$9,$D$13,$C$13,$F$13,$E$13,$C24,H$16)</f>
        <v/>
      </c>
    </row>
    <row r="25" spans="1:8" s="19" customFormat="1" x14ac:dyDescent="0.3">
      <c r="A25" s="19">
        <f>IF(_xll.TM1RPTELISCONSOLIDATED($C$17,$C25),IF(_xll.TM1RPTELLEV($C$17,$C25)&lt;=3,_xll.TM1RPTELLEV($C$17,$C25),"D"),"N")</f>
        <v>3</v>
      </c>
      <c r="C25" s="107" t="s">
        <v>28</v>
      </c>
      <c r="D25" s="62">
        <f>_xll.DBRW($C$9,$D$13,$C$13,$F$13,$E$13,$C25,D$16)</f>
        <v>2127264.3970804173</v>
      </c>
      <c r="E25" s="48">
        <f>_xll.DBRW($C$9,$D$13,$C$13,$F$13,$E$13,$C25,E$16)</f>
        <v>975687.27732641576</v>
      </c>
      <c r="F25" s="63">
        <f>_xll.DBRW($C$9,$D$13,$C$13,$F$13,$E$13,$C25,F$16)</f>
        <v>1151577.119754001</v>
      </c>
      <c r="G25" s="64">
        <f>_xll.DBRW($C$9,$D$13,$C$13,$F$13,$E$13,$C25,G$16)</f>
        <v>54.134189256904698</v>
      </c>
      <c r="H25" s="22" t="str">
        <f>_xll.DBRW($C$9,$D$13,$C$13,$F$13,$E$13,$C25,H$16)</f>
        <v/>
      </c>
    </row>
    <row r="26" spans="1:8" s="19" customFormat="1" x14ac:dyDescent="0.3">
      <c r="A26" s="19">
        <f>IF(_xll.TM1RPTELISCONSOLIDATED($C$17,$C26),IF(_xll.TM1RPTELLEV($C$17,$C26)&lt;=3,_xll.TM1RPTELLEV($C$17,$C26),"D"),"N")</f>
        <v>2</v>
      </c>
      <c r="C26" s="105" t="s">
        <v>29</v>
      </c>
      <c r="D26" s="66">
        <f>_xll.DBRW($C$9,$D$13,$C$13,$F$13,$E$13,$C26,D$16)</f>
        <v>10339547.654040206</v>
      </c>
      <c r="E26" s="50">
        <f>_xll.DBRW($C$9,$D$13,$C$13,$F$13,$E$13,$C26,E$16)</f>
        <v>4811296.676890512</v>
      </c>
      <c r="F26" s="67">
        <f>_xll.DBRW($C$9,$D$13,$C$13,$F$13,$E$13,$C26,F$16)</f>
        <v>5528250.9771496942</v>
      </c>
      <c r="G26" s="68">
        <f>_xll.DBRW($C$9,$D$13,$C$13,$F$13,$E$13,$C26,G$16)</f>
        <v>53.467046887830051</v>
      </c>
      <c r="H26" s="22" t="str">
        <f>_xll.DBRW($C$9,$D$13,$C$13,$F$13,$E$13,$C26,H$16)</f>
        <v/>
      </c>
    </row>
    <row r="27" spans="1:8" s="19" customFormat="1" x14ac:dyDescent="0.3">
      <c r="A27" s="19">
        <f>IF(_xll.TM1RPTELISCONSOLIDATED($C$17,$C27),IF(_xll.TM1RPTELLEV($C$17,$C27)&lt;=3,_xll.TM1RPTELLEV($C$17,$C27),"D"),"N")</f>
        <v>1</v>
      </c>
      <c r="C27" s="106" t="s">
        <v>30</v>
      </c>
      <c r="D27" s="66">
        <f>_xll.DBRW($C$9,$D$13,$C$13,$F$13,$E$13,$C27,D$16)</f>
        <v>27229995.89335911</v>
      </c>
      <c r="E27" s="50">
        <f>_xll.DBRW($C$9,$D$13,$C$13,$F$13,$E$13,$C27,E$16)</f>
        <v>15093820.503314156</v>
      </c>
      <c r="F27" s="67">
        <f>_xll.DBRW($C$9,$D$13,$C$13,$F$13,$E$13,$C27,F$16)</f>
        <v>-12136175.390044939</v>
      </c>
      <c r="G27" s="68">
        <f>_xll.DBRW($C$9,$D$13,$C$13,$F$13,$E$13,$C27,G$16)</f>
        <v>-44.56914128832387</v>
      </c>
      <c r="H27" s="22" t="str">
        <f>_xll.DBRW($C$9,$D$13,$C$13,$F$13,$E$13,$C27,H$16)</f>
        <v/>
      </c>
    </row>
    <row r="28" spans="1:8" s="19" customFormat="1" x14ac:dyDescent="0.3">
      <c r="A28" s="19">
        <f>IF(_xll.TM1RPTELISCONSOLIDATED($C$17,$C28),IF(_xll.TM1RPTELLEV($C$17,$C28)&lt;=3,_xll.TM1RPTELLEV($C$17,$C28),"D"),"N")</f>
        <v>1</v>
      </c>
      <c r="C28" s="101" t="s">
        <v>31</v>
      </c>
      <c r="D28" s="66">
        <f>_xll.DBRW($C$9,$D$13,$C$13,$F$13,$E$13,$C28,D$16)</f>
        <v>567366.42047621834</v>
      </c>
      <c r="E28" s="50">
        <f>_xll.DBRW($C$9,$D$13,$C$13,$F$13,$E$13,$C28,E$16)</f>
        <v>0</v>
      </c>
      <c r="F28" s="67">
        <f>_xll.DBRW($C$9,$D$13,$C$13,$F$13,$E$13,$C28,F$16)</f>
        <v>567366.42047621834</v>
      </c>
      <c r="G28" s="68">
        <f>_xll.DBRW($C$9,$D$13,$C$13,$F$13,$E$13,$C28,G$16)</f>
        <v>100.00007411022484</v>
      </c>
      <c r="H28" s="22" t="str">
        <f>_xll.DBRW($C$9,$D$13,$C$13,$F$13,$E$13,$C28,H$16)</f>
        <v/>
      </c>
    </row>
    <row r="29" spans="1:8" s="19" customFormat="1" x14ac:dyDescent="0.3">
      <c r="A29" s="19">
        <f>IF(_xll.TM1RPTELISCONSOLIDATED($C$17,$C29),IF(_xll.TM1RPTELLEV($C$17,$C29)&lt;=3,_xll.TM1RPTELLEV($C$17,$C29),"D"),"N")</f>
        <v>0</v>
      </c>
      <c r="C29" s="102" t="s">
        <v>32</v>
      </c>
      <c r="D29" s="66">
        <f>_xll.DBRW($C$9,$D$13,$C$13,$F$13,$E$13,$C29,D$16)</f>
        <v>26662629.472882893</v>
      </c>
      <c r="E29" s="50">
        <f>_xll.DBRW($C$9,$D$13,$C$13,$F$13,$E$13,$C29,E$16)</f>
        <v>15093820.503314156</v>
      </c>
      <c r="F29" s="67">
        <f>_xll.DBRW($C$9,$D$13,$C$13,$F$13,$E$13,$C29,F$16)</f>
        <v>-11568808.969568722</v>
      </c>
      <c r="G29" s="68">
        <f>_xll.DBRW($C$9,$D$13,$C$13,$F$13,$E$13,$C29,G$16)</f>
        <v>-43.389603364202088</v>
      </c>
      <c r="H29" s="22" t="str">
        <f>_xll.DBRW($C$9,$D$13,$C$13,$F$13,$E$13,$C29,H$16)</f>
        <v/>
      </c>
    </row>
    <row r="30" spans="1:8" ht="15" customHeight="1" x14ac:dyDescent="0.3"/>
  </sheetData>
  <phoneticPr fontId="11" type="noConversion"/>
  <dataValidations disablePrompts="1" count="1">
    <dataValidation type="list" allowBlank="1" showInputMessage="1" showErrorMessage="1" sqref="G13" xr:uid="{00000000-0002-0000-0000-000000000000}">
      <formula1>SelectYesNo</formula1>
    </dataValidation>
  </dataValidations>
  <pageMargins left="0.7" right="0.7" top="0.75" bottom="0.75" header="0.3" footer="0.3"/>
  <pageSetup orientation="portrait" r:id="rId1"/>
  <customProperties>
    <customPr name="TM1Actions" r:id="rId2"/>
  </customProperties>
  <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P28"/>
  <sheetViews>
    <sheetView showGridLines="0" showRowColHeaders="0" topLeftCell="B10" workbookViewId="0">
      <selection activeCell="C17" sqref="C17"/>
    </sheetView>
  </sheetViews>
  <sheetFormatPr defaultRowHeight="14.4" x14ac:dyDescent="0.3"/>
  <cols>
    <col min="1" max="1" width="2.6640625" hidden="1" customWidth="1"/>
    <col min="2" max="2" width="1.44140625" customWidth="1"/>
    <col min="3" max="3" width="28.88671875" customWidth="1"/>
    <col min="4" max="4" width="8.33203125" customWidth="1"/>
    <col min="5" max="16" width="7.6640625" customWidth="1"/>
  </cols>
  <sheetData>
    <row r="1" spans="1:16" hidden="1" x14ac:dyDescent="0.3">
      <c r="A1" t="s">
        <v>9</v>
      </c>
    </row>
    <row r="2" spans="1:16" hidden="1" x14ac:dyDescent="0.3">
      <c r="A2">
        <f>0</f>
        <v>0</v>
      </c>
      <c r="C2" s="94"/>
      <c r="D2" s="72"/>
      <c r="E2" s="72"/>
      <c r="F2" s="72"/>
      <c r="G2" s="72"/>
      <c r="H2" s="72"/>
      <c r="I2" s="72"/>
      <c r="J2" s="72"/>
      <c r="K2" s="72"/>
      <c r="L2" s="72"/>
      <c r="M2" s="72"/>
      <c r="N2" s="72"/>
      <c r="O2" s="72"/>
      <c r="P2" s="72"/>
    </row>
    <row r="3" spans="1:16" hidden="1" x14ac:dyDescent="0.3">
      <c r="A3">
        <f>1</f>
        <v>1</v>
      </c>
      <c r="C3" s="94"/>
      <c r="D3" s="72"/>
      <c r="E3" s="72"/>
      <c r="F3" s="72"/>
      <c r="G3" s="72"/>
      <c r="H3" s="72"/>
      <c r="I3" s="72"/>
      <c r="J3" s="72"/>
      <c r="K3" s="72"/>
      <c r="L3" s="72"/>
      <c r="M3" s="72"/>
      <c r="N3" s="72"/>
      <c r="O3" s="72"/>
      <c r="P3" s="72"/>
    </row>
    <row r="4" spans="1:16" hidden="1" x14ac:dyDescent="0.3">
      <c r="A4">
        <f>2</f>
        <v>2</v>
      </c>
      <c r="C4" s="94"/>
      <c r="D4" s="72"/>
      <c r="E4" s="72"/>
      <c r="F4" s="72"/>
      <c r="G4" s="72"/>
      <c r="H4" s="72"/>
      <c r="I4" s="72"/>
      <c r="J4" s="72"/>
      <c r="K4" s="72"/>
      <c r="L4" s="72"/>
      <c r="M4" s="72"/>
      <c r="N4" s="72"/>
      <c r="O4" s="72"/>
      <c r="P4" s="72"/>
    </row>
    <row r="5" spans="1:16" hidden="1" x14ac:dyDescent="0.3">
      <c r="A5">
        <f>3</f>
        <v>3</v>
      </c>
      <c r="C5" s="92"/>
      <c r="D5" s="72"/>
      <c r="E5" s="71"/>
      <c r="F5" s="71"/>
      <c r="G5" s="71"/>
      <c r="H5" s="71"/>
      <c r="I5" s="71"/>
      <c r="J5" s="71"/>
      <c r="K5" s="71"/>
      <c r="L5" s="71"/>
      <c r="M5" s="71"/>
      <c r="N5" s="71"/>
      <c r="O5" s="71"/>
      <c r="P5" s="71"/>
    </row>
    <row r="6" spans="1:16" hidden="1" x14ac:dyDescent="0.3">
      <c r="A6" t="s">
        <v>7</v>
      </c>
      <c r="C6" s="92"/>
      <c r="D6" s="72"/>
      <c r="E6" s="71"/>
      <c r="F6" s="71"/>
      <c r="G6" s="71"/>
      <c r="H6" s="71"/>
      <c r="I6" s="71"/>
      <c r="J6" s="71"/>
      <c r="K6" s="71"/>
      <c r="L6" s="71"/>
      <c r="M6" s="71"/>
      <c r="N6" s="71"/>
      <c r="O6" s="71"/>
      <c r="P6" s="71"/>
    </row>
    <row r="7" spans="1:16" hidden="1" x14ac:dyDescent="0.3">
      <c r="A7" t="s">
        <v>8</v>
      </c>
      <c r="C7" s="92"/>
      <c r="D7" s="72"/>
      <c r="E7" s="71"/>
      <c r="F7" s="71"/>
      <c r="G7" s="71"/>
      <c r="H7" s="71"/>
      <c r="I7" s="71"/>
      <c r="J7" s="71"/>
      <c r="K7" s="71"/>
      <c r="L7" s="71"/>
      <c r="M7" s="71"/>
      <c r="N7" s="71"/>
      <c r="O7" s="71"/>
      <c r="P7" s="71"/>
    </row>
    <row r="8" spans="1:16" hidden="1" x14ac:dyDescent="0.3">
      <c r="A8" t="s">
        <v>10</v>
      </c>
      <c r="G8">
        <f>VLOOKUP($J$13,Lookup!$D$2:$E$3,2,0)</f>
        <v>1</v>
      </c>
      <c r="H8" t="e">
        <f>IF(#REF!&lt;&gt;"","{TM1FILTERBYPATTERN( {TM1SUBSETALL( [Account] )}, """&amp;#REF!&amp;""")}","")</f>
        <v>#REF!</v>
      </c>
    </row>
    <row r="9" spans="1:16" hidden="1" x14ac:dyDescent="0.3">
      <c r="C9" t="str">
        <f>_xll.TM1RPTVIEW("24retail:Income Statement:3", $G$8, _xll.TM1RPTTITLE("24retail:Currency Calc",$D$13), _xll.TM1RPTTITLE("24retail:organization",$C$13), _xll.TM1RPTTITLE("24retail:Year",$F$13), _xll.TM1RPTTITLE("24retail:Version",$H$13),TM1RPTFMTRNG,TM1RPTFMTIDCOL)</f>
        <v>24retail:Income Statement:3</v>
      </c>
    </row>
    <row r="10" spans="1:16" ht="30.75" customHeight="1" x14ac:dyDescent="0.3">
      <c r="A10" s="23"/>
      <c r="B10" s="23"/>
      <c r="C10" s="57"/>
      <c r="D10" s="58"/>
      <c r="E10" s="58"/>
      <c r="F10" s="58"/>
      <c r="G10" s="58"/>
      <c r="H10" s="58"/>
      <c r="I10" s="58"/>
      <c r="J10" s="58"/>
      <c r="K10" s="58"/>
      <c r="L10" s="58"/>
      <c r="M10" s="58"/>
      <c r="N10" s="58"/>
      <c r="O10" s="58"/>
      <c r="P10" s="58"/>
    </row>
    <row r="11" spans="1:16" ht="35.25" customHeight="1" x14ac:dyDescent="0.3"/>
    <row r="12" spans="1:16" s="4" customFormat="1" ht="15" customHeight="1" x14ac:dyDescent="0.3">
      <c r="C12" s="17" t="s">
        <v>11</v>
      </c>
      <c r="D12" s="99" t="s">
        <v>1</v>
      </c>
      <c r="E12" s="99"/>
      <c r="F12" s="99" t="s">
        <v>3</v>
      </c>
      <c r="G12" s="99"/>
      <c r="H12" s="99" t="s">
        <v>33</v>
      </c>
      <c r="I12" s="99"/>
      <c r="J12" s="97" t="s">
        <v>92</v>
      </c>
      <c r="K12" s="97"/>
    </row>
    <row r="13" spans="1:16" s="41" customFormat="1" ht="15" customHeight="1" x14ac:dyDescent="0.2">
      <c r="A13" s="40"/>
      <c r="B13" s="40"/>
      <c r="C13" s="59" t="str">
        <f>_xll.SUBNM("24retail:organization","Workflow","Total Company","Caption_Default")</f>
        <v>Total Company</v>
      </c>
      <c r="D13" s="98" t="str">
        <f>_xll.SUBNM("24retail:Currency Calc","Default","Local")</f>
        <v>Local</v>
      </c>
      <c r="E13" s="98"/>
      <c r="F13" s="98" t="str">
        <f>_xll.SUBNM("24retail:Year","Default","Y2","Caption_Default")</f>
        <v>2015</v>
      </c>
      <c r="G13" s="98"/>
      <c r="H13" s="98" t="str">
        <f>_xll.SUBNM("24retail:Version","Current","Target","Caption_Default")</f>
        <v>Target</v>
      </c>
      <c r="I13" s="98"/>
      <c r="J13" s="98" t="s">
        <v>35</v>
      </c>
      <c r="K13" s="98"/>
      <c r="N13" s="40"/>
      <c r="O13" s="40"/>
      <c r="P13" s="40"/>
    </row>
    <row r="14" spans="1:16" ht="5.25" customHeight="1" x14ac:dyDescent="0.3">
      <c r="A14" s="5"/>
      <c r="B14" s="5"/>
      <c r="C14" s="5"/>
      <c r="D14" s="5"/>
      <c r="E14" s="5"/>
      <c r="F14" s="5"/>
      <c r="G14" s="5"/>
      <c r="H14" s="5"/>
      <c r="I14" s="5"/>
      <c r="J14" s="5"/>
      <c r="K14" s="5"/>
      <c r="L14" s="5"/>
      <c r="M14" s="5"/>
      <c r="N14" s="5"/>
      <c r="O14" s="5"/>
      <c r="P14" s="5"/>
    </row>
    <row r="15" spans="1:16" s="95" customFormat="1" ht="15" customHeight="1" thickBot="1" x14ac:dyDescent="0.35">
      <c r="C15" s="96" t="s">
        <v>36</v>
      </c>
      <c r="D15" s="70" t="s">
        <v>3</v>
      </c>
      <c r="E15" s="70" t="s">
        <v>37</v>
      </c>
      <c r="F15" s="70" t="s">
        <v>38</v>
      </c>
      <c r="G15" s="70" t="s">
        <v>39</v>
      </c>
      <c r="H15" s="70" t="s">
        <v>40</v>
      </c>
      <c r="I15" s="70" t="s">
        <v>41</v>
      </c>
      <c r="J15" s="70" t="s">
        <v>42</v>
      </c>
      <c r="K15" s="70" t="s">
        <v>43</v>
      </c>
      <c r="L15" s="70" t="s">
        <v>44</v>
      </c>
      <c r="M15" s="70" t="s">
        <v>45</v>
      </c>
      <c r="N15" s="70" t="s">
        <v>46</v>
      </c>
      <c r="O15" s="70" t="s">
        <v>47</v>
      </c>
      <c r="P15" s="70" t="s">
        <v>48</v>
      </c>
    </row>
    <row r="16" spans="1:16" ht="15" thickTop="1" x14ac:dyDescent="0.3">
      <c r="A16" t="str">
        <f>IF(_xll.TM1RPTELISCONSOLIDATED($C$16,$C16),IF(_xll.TM1RPTELLEV($C$16,$C16)&lt;=3,_xll.TM1RPTELLEV($C$16,$C16),"D"),"N")</f>
        <v>N</v>
      </c>
      <c r="C16" s="93" t="str">
        <f>_xll.TM1RPTROW($C$9,"24retail:Account","Summary",,"Caption_Default",1,)</f>
        <v>4999 Gross Revenue</v>
      </c>
      <c r="D16" s="72">
        <f>_xll.DBRW($C$9,$D$13,$C$13,$F$13,D$15,$C16,$H$13)</f>
        <v>42742435.803093553</v>
      </c>
      <c r="E16" s="71">
        <f>_xll.DBRW($C$9,$D$13,$C$13,$F$13,E$15,$C16,$H$13)</f>
        <v>4500872.45927261</v>
      </c>
      <c r="F16" s="71">
        <f>_xll.DBRW($C$9,$D$13,$C$13,$F$13,F$15,$C16,$H$13)</f>
        <v>3245547.3289698269</v>
      </c>
      <c r="G16" s="71">
        <f>_xll.DBRW($C$9,$D$13,$C$13,$F$13,G$15,$C16,$H$13)</f>
        <v>3302952.5178371076</v>
      </c>
      <c r="H16" s="71">
        <f>_xll.DBRW($C$9,$D$13,$C$13,$F$13,H$15,$C16,$H$13)</f>
        <v>3312444.1431063991</v>
      </c>
      <c r="I16" s="71">
        <f>_xll.DBRW($C$9,$D$13,$C$13,$F$13,I$15,$C16,$H$13)</f>
        <v>3316715.8493663208</v>
      </c>
      <c r="J16" s="71">
        <f>_xll.DBRW($C$9,$D$13,$C$13,$F$13,J$15,$C16,$H$13)</f>
        <v>3317904.2401417601</v>
      </c>
      <c r="K16" s="71">
        <f>_xll.DBRW($C$9,$D$13,$C$13,$F$13,K$15,$C16,$H$13)</f>
        <v>3440046.8045644839</v>
      </c>
      <c r="L16" s="71">
        <f>_xll.DBRW($C$9,$D$13,$C$13,$F$13,L$15,$C16,$H$13)</f>
        <v>3482632.1632347</v>
      </c>
      <c r="M16" s="71">
        <f>_xll.DBRW($C$9,$D$13,$C$13,$F$13,M$15,$C16,$H$13)</f>
        <v>3542747.2451672796</v>
      </c>
      <c r="N16" s="71">
        <f>_xll.DBRW($C$9,$D$13,$C$13,$F$13,N$15,$C16,$H$13)</f>
        <v>3645935.9461912364</v>
      </c>
      <c r="O16" s="71">
        <f>_xll.DBRW($C$9,$D$13,$C$13,$F$13,O$15,$C16,$H$13)</f>
        <v>3749488.3458294878</v>
      </c>
      <c r="P16" s="71">
        <f>_xll.DBRW($C$9,$D$13,$C$13,$F$13,P$15,$C16,$H$13)</f>
        <v>3885148.7594123408</v>
      </c>
    </row>
    <row r="17" spans="1:16" x14ac:dyDescent="0.3">
      <c r="A17" t="str">
        <f>IF(_xll.TM1RPTELISCONSOLIDATED($C$16,$C17),IF(_xll.TM1RPTELLEV($C$16,$C17)&lt;=3,_xll.TM1RPTELLEV($C$16,$C17),"D"),"N")</f>
        <v>N</v>
      </c>
      <c r="C17" s="93" t="s">
        <v>21</v>
      </c>
      <c r="D17" s="72">
        <f>_xll.DBRW($C$9,$D$13,$C$13,$F$13,D$15,$C17,$H$13)</f>
        <v>22837318.6228889</v>
      </c>
      <c r="E17" s="71">
        <f>_xll.DBRW($C$9,$D$13,$C$13,$F$13,E$15,$C17,$H$13)</f>
        <v>1856149.079702707</v>
      </c>
      <c r="F17" s="71">
        <f>_xll.DBRW($C$9,$D$13,$C$13,$F$13,F$15,$C17,$H$13)</f>
        <v>1858532.6359902578</v>
      </c>
      <c r="G17" s="71">
        <f>_xll.DBRW($C$9,$D$13,$C$13,$F$13,G$15,$C17,$H$13)</f>
        <v>1864794.2380332588</v>
      </c>
      <c r="H17" s="71">
        <f>_xll.DBRW($C$9,$D$13,$C$13,$F$13,H$15,$C17,$H$13)</f>
        <v>1860330.4482396999</v>
      </c>
      <c r="I17" s="71">
        <f>_xll.DBRW($C$9,$D$13,$C$13,$F$13,I$15,$C17,$H$13)</f>
        <v>1860786.3552626562</v>
      </c>
      <c r="J17" s="71">
        <f>_xll.DBRW($C$9,$D$13,$C$13,$F$13,J$15,$C17,$H$13)</f>
        <v>1862319.2948474493</v>
      </c>
      <c r="K17" s="71">
        <f>_xll.DBRW($C$9,$D$13,$C$13,$F$13,K$15,$C17,$H$13)</f>
        <v>1890503.8695990257</v>
      </c>
      <c r="L17" s="71">
        <f>_xll.DBRW($C$9,$D$13,$C$13,$F$13,L$15,$C17,$H$13)</f>
        <v>1909513.9703307282</v>
      </c>
      <c r="M17" s="71">
        <f>_xll.DBRW($C$9,$D$13,$C$13,$F$13,M$15,$C17,$H$13)</f>
        <v>1919290.7991209673</v>
      </c>
      <c r="N17" s="71">
        <f>_xll.DBRW($C$9,$D$13,$C$13,$F$13,N$15,$C17,$H$13)</f>
        <v>1954380.8942144248</v>
      </c>
      <c r="O17" s="71">
        <f>_xll.DBRW($C$9,$D$13,$C$13,$F$13,O$15,$C17,$H$13)</f>
        <v>1993938.1569153592</v>
      </c>
      <c r="P17" s="71">
        <f>_xll.DBRW($C$9,$D$13,$C$13,$F$13,P$15,$C17,$H$13)</f>
        <v>2006778.8806323684</v>
      </c>
    </row>
    <row r="18" spans="1:16" x14ac:dyDescent="0.3">
      <c r="A18">
        <f>IF(_xll.TM1RPTELISCONSOLIDATED($C$16,$C18),IF(_xll.TM1RPTELLEV($C$16,$C18)&lt;=3,_xll.TM1RPTELLEV($C$16,$C18),"D"),"N")</f>
        <v>2</v>
      </c>
      <c r="C18" s="108" t="s">
        <v>22</v>
      </c>
      <c r="D18" s="72">
        <f>_xll.DBRW($C$9,$D$13,$C$13,$F$13,D$15,$C18,$H$13)</f>
        <v>19905117.180204652</v>
      </c>
      <c r="E18" s="72">
        <f>_xll.DBRW($C$9,$D$13,$C$13,$F$13,E$15,$C18,$H$13)</f>
        <v>2644723.379569903</v>
      </c>
      <c r="F18" s="72">
        <f>_xll.DBRW($C$9,$D$13,$C$13,$F$13,F$15,$C18,$H$13)</f>
        <v>1387014.6929795691</v>
      </c>
      <c r="G18" s="72">
        <f>_xll.DBRW($C$9,$D$13,$C$13,$F$13,G$15,$C18,$H$13)</f>
        <v>1438158.2798038488</v>
      </c>
      <c r="H18" s="72">
        <f>_xll.DBRW($C$9,$D$13,$C$13,$F$13,H$15,$C18,$H$13)</f>
        <v>1452113.6948666992</v>
      </c>
      <c r="I18" s="72">
        <f>_xll.DBRW($C$9,$D$13,$C$13,$F$13,I$15,$C18,$H$13)</f>
        <v>1455929.4941036645</v>
      </c>
      <c r="J18" s="72">
        <f>_xll.DBRW($C$9,$D$13,$C$13,$F$13,J$15,$C18,$H$13)</f>
        <v>1455584.9452943108</v>
      </c>
      <c r="K18" s="72">
        <f>_xll.DBRW($C$9,$D$13,$C$13,$F$13,K$15,$C18,$H$13)</f>
        <v>1549542.9349654582</v>
      </c>
      <c r="L18" s="72">
        <f>_xll.DBRW($C$9,$D$13,$C$13,$F$13,L$15,$C18,$H$13)</f>
        <v>1573118.1929039718</v>
      </c>
      <c r="M18" s="72">
        <f>_xll.DBRW($C$9,$D$13,$C$13,$F$13,M$15,$C18,$H$13)</f>
        <v>1623456.4460463123</v>
      </c>
      <c r="N18" s="72">
        <f>_xll.DBRW($C$9,$D$13,$C$13,$F$13,N$15,$C18,$H$13)</f>
        <v>1691555.0519768116</v>
      </c>
      <c r="O18" s="72">
        <f>_xll.DBRW($C$9,$D$13,$C$13,$F$13,O$15,$C18,$H$13)</f>
        <v>1755550.1889141286</v>
      </c>
      <c r="P18" s="72">
        <f>_xll.DBRW($C$9,$D$13,$C$13,$F$13,P$15,$C18,$H$13)</f>
        <v>1878369.8787799724</v>
      </c>
    </row>
    <row r="19" spans="1:16" x14ac:dyDescent="0.3">
      <c r="A19">
        <f>IF(_xll.TM1RPTELISCONSOLIDATED($C$16,$C19),IF(_xll.TM1RPTELLEV($C$16,$C19)&lt;=3,_xll.TM1RPTELLEV($C$16,$C19),"D"),"N")</f>
        <v>3</v>
      </c>
      <c r="C19" s="111" t="s">
        <v>23</v>
      </c>
      <c r="D19" s="72">
        <f>_xll.DBRW($C$9,$D$13,$C$13,$F$13,D$15,$C19,$H$13)</f>
        <v>1648935.5000272237</v>
      </c>
      <c r="E19" s="71">
        <f>_xll.DBRW($C$9,$D$13,$C$13,$F$13,E$15,$C19,$H$13)</f>
        <v>135691.32060539257</v>
      </c>
      <c r="F19" s="71">
        <f>_xll.DBRW($C$9,$D$13,$C$13,$F$13,F$15,$C19,$H$13)</f>
        <v>135845.81746134188</v>
      </c>
      <c r="G19" s="71">
        <f>_xll.DBRW($C$9,$D$13,$C$13,$F$13,G$15,$C19,$H$13)</f>
        <v>135831.657343675</v>
      </c>
      <c r="H19" s="71">
        <f>_xll.DBRW($C$9,$D$13,$C$13,$F$13,H$15,$C19,$H$13)</f>
        <v>136014.07497562186</v>
      </c>
      <c r="I19" s="71">
        <f>_xll.DBRW($C$9,$D$13,$C$13,$F$13,I$15,$C19,$H$13)</f>
        <v>135674.07922826818</v>
      </c>
      <c r="J19" s="71">
        <f>_xll.DBRW($C$9,$D$13,$C$13,$F$13,J$15,$C19,$H$13)</f>
        <v>137691.31597082966</v>
      </c>
      <c r="K19" s="71">
        <f>_xll.DBRW($C$9,$D$13,$C$13,$F$13,K$15,$C19,$H$13)</f>
        <v>138287.27670784594</v>
      </c>
      <c r="L19" s="71">
        <f>_xll.DBRW($C$9,$D$13,$C$13,$F$13,L$15,$C19,$H$13)</f>
        <v>138473.06346010414</v>
      </c>
      <c r="M19" s="71">
        <f>_xll.DBRW($C$9,$D$13,$C$13,$F$13,M$15,$C19,$H$13)</f>
        <v>138882.22011738204</v>
      </c>
      <c r="N19" s="71">
        <f>_xll.DBRW($C$9,$D$13,$C$13,$F$13,N$15,$C19,$H$13)</f>
        <v>138845.27412680545</v>
      </c>
      <c r="O19" s="71">
        <f>_xll.DBRW($C$9,$D$13,$C$13,$F$13,O$15,$C19,$H$13)</f>
        <v>138715.31376366093</v>
      </c>
      <c r="P19" s="71">
        <f>_xll.DBRW($C$9,$D$13,$C$13,$F$13,P$15,$C19,$H$13)</f>
        <v>138984.08626629607</v>
      </c>
    </row>
    <row r="20" spans="1:16" x14ac:dyDescent="0.3">
      <c r="A20">
        <f>IF(_xll.TM1RPTELISCONSOLIDATED($C$16,$C20),IF(_xll.TM1RPTELLEV($C$16,$C20)&lt;=3,_xll.TM1RPTELLEV($C$16,$C20),"D"),"N")</f>
        <v>3</v>
      </c>
      <c r="C20" s="111" t="s">
        <v>24</v>
      </c>
      <c r="D20" s="72">
        <f>_xll.DBRW($C$9,$D$13,$C$13,$F$13,D$15,$C20,$H$13)</f>
        <v>264032.53924754664</v>
      </c>
      <c r="E20" s="71">
        <f>_xll.DBRW($C$9,$D$13,$C$13,$F$13,E$15,$C20,$H$13)</f>
        <v>21895.773399333488</v>
      </c>
      <c r="F20" s="71">
        <f>_xll.DBRW($C$9,$D$13,$C$13,$F$13,F$15,$C20,$H$13)</f>
        <v>21962.966384819996</v>
      </c>
      <c r="G20" s="71">
        <f>_xll.DBRW($C$9,$D$13,$C$13,$F$13,G$15,$C20,$H$13)</f>
        <v>21978.384912581296</v>
      </c>
      <c r="H20" s="71">
        <f>_xll.DBRW($C$9,$D$13,$C$13,$F$13,H$15,$C20,$H$13)</f>
        <v>22036.259252957891</v>
      </c>
      <c r="I20" s="71">
        <f>_xll.DBRW($C$9,$D$13,$C$13,$F$13,I$15,$C20,$H$13)</f>
        <v>22009.841096183351</v>
      </c>
      <c r="J20" s="71">
        <f>_xll.DBRW($C$9,$D$13,$C$13,$F$13,J$15,$C20,$H$13)</f>
        <v>22050.013490248588</v>
      </c>
      <c r="K20" s="71">
        <f>_xll.DBRW($C$9,$D$13,$C$13,$F$13,K$15,$C20,$H$13)</f>
        <v>21959.555999662502</v>
      </c>
      <c r="L20" s="71">
        <f>_xll.DBRW($C$9,$D$13,$C$13,$F$13,L$15,$C20,$H$13)</f>
        <v>22029.051527593256</v>
      </c>
      <c r="M20" s="71">
        <f>_xll.DBRW($C$9,$D$13,$C$13,$F$13,M$15,$C20,$H$13)</f>
        <v>22065.536783691103</v>
      </c>
      <c r="N20" s="71">
        <f>_xll.DBRW($C$9,$D$13,$C$13,$F$13,N$15,$C20,$H$13)</f>
        <v>22088.250789267975</v>
      </c>
      <c r="O20" s="71">
        <f>_xll.DBRW($C$9,$D$13,$C$13,$F$13,O$15,$C20,$H$13)</f>
        <v>22053.426817543645</v>
      </c>
      <c r="P20" s="71">
        <f>_xll.DBRW($C$9,$D$13,$C$13,$F$13,P$15,$C20,$H$13)</f>
        <v>21903.478793663642</v>
      </c>
    </row>
    <row r="21" spans="1:16" x14ac:dyDescent="0.3">
      <c r="A21">
        <f>IF(_xll.TM1RPTELISCONSOLIDATED($C$16,$C21),IF(_xll.TM1RPTELLEV($C$16,$C21)&lt;=3,_xll.TM1RPTELLEV($C$16,$C21),"D"),"N")</f>
        <v>3</v>
      </c>
      <c r="C21" s="111" t="s">
        <v>25</v>
      </c>
      <c r="D21" s="72">
        <f>_xll.DBRW($C$9,$D$13,$C$13,$F$13,D$15,$C21,$H$13)</f>
        <v>173253.02450705844</v>
      </c>
      <c r="E21" s="71">
        <f>_xll.DBRW($C$9,$D$13,$C$13,$F$13,E$15,$C21,$H$13)</f>
        <v>14406.38181024372</v>
      </c>
      <c r="F21" s="71">
        <f>_xll.DBRW($C$9,$D$13,$C$13,$F$13,F$15,$C21,$H$13)</f>
        <v>14396.114833446876</v>
      </c>
      <c r="G21" s="71">
        <f>_xll.DBRW($C$9,$D$13,$C$13,$F$13,G$15,$C21,$H$13)</f>
        <v>14454.066752714469</v>
      </c>
      <c r="H21" s="71">
        <f>_xll.DBRW($C$9,$D$13,$C$13,$F$13,H$15,$C21,$H$13)</f>
        <v>14479.546875283555</v>
      </c>
      <c r="I21" s="71">
        <f>_xll.DBRW($C$9,$D$13,$C$13,$F$13,I$15,$C21,$H$13)</f>
        <v>14426.732559809258</v>
      </c>
      <c r="J21" s="71">
        <f>_xll.DBRW($C$9,$D$13,$C$13,$F$13,J$15,$C21,$H$13)</f>
        <v>14429.894778061398</v>
      </c>
      <c r="K21" s="71">
        <f>_xll.DBRW($C$9,$D$13,$C$13,$F$13,K$15,$C21,$H$13)</f>
        <v>14437.087149145602</v>
      </c>
      <c r="L21" s="71">
        <f>_xll.DBRW($C$9,$D$13,$C$13,$F$13,L$15,$C21,$H$13)</f>
        <v>14406.433077790332</v>
      </c>
      <c r="M21" s="71">
        <f>_xll.DBRW($C$9,$D$13,$C$13,$F$13,M$15,$C21,$H$13)</f>
        <v>14458.990012192035</v>
      </c>
      <c r="N21" s="71">
        <f>_xll.DBRW($C$9,$D$13,$C$13,$F$13,N$15,$C21,$H$13)</f>
        <v>14425.265244649312</v>
      </c>
      <c r="O21" s="71">
        <f>_xll.DBRW($C$9,$D$13,$C$13,$F$13,O$15,$C21,$H$13)</f>
        <v>14484.70460633589</v>
      </c>
      <c r="P21" s="71">
        <f>_xll.DBRW($C$9,$D$13,$C$13,$F$13,P$15,$C21,$H$13)</f>
        <v>14447.806807385976</v>
      </c>
    </row>
    <row r="22" spans="1:16" x14ac:dyDescent="0.3">
      <c r="A22">
        <f>IF(_xll.TM1RPTELISCONSOLIDATED($C$16,$C22),IF(_xll.TM1RPTELLEV($C$16,$C22)&lt;=3,_xll.TM1RPTELLEV($C$16,$C22),"D"),"N")</f>
        <v>3</v>
      </c>
      <c r="C22" s="111" t="s">
        <v>26</v>
      </c>
      <c r="D22" s="72">
        <f>_xll.DBRW($C$9,$D$13,$C$13,$F$13,D$15,$C22,$H$13)</f>
        <v>1328020.1984440295</v>
      </c>
      <c r="E22" s="71">
        <f>_xll.DBRW($C$9,$D$13,$C$13,$F$13,E$15,$C22,$H$13)</f>
        <v>127769.14175648909</v>
      </c>
      <c r="F22" s="71">
        <f>_xll.DBRW($C$9,$D$13,$C$13,$F$13,F$15,$C22,$H$13)</f>
        <v>117100.21406257612</v>
      </c>
      <c r="G22" s="71">
        <f>_xll.DBRW($C$9,$D$13,$C$13,$F$13,G$15,$C22,$H$13)</f>
        <v>110710.32733274493</v>
      </c>
      <c r="H22" s="71">
        <f>_xll.DBRW($C$9,$D$13,$C$13,$F$13,H$15,$C22,$H$13)</f>
        <v>95196.207931371333</v>
      </c>
      <c r="I22" s="71">
        <f>_xll.DBRW($C$9,$D$13,$C$13,$F$13,I$15,$C22,$H$13)</f>
        <v>95587.443348393543</v>
      </c>
      <c r="J22" s="71">
        <f>_xll.DBRW($C$9,$D$13,$C$13,$F$13,J$15,$C22,$H$13)</f>
        <v>100099.89286784982</v>
      </c>
      <c r="K22" s="71">
        <f>_xll.DBRW($C$9,$D$13,$C$13,$F$13,K$15,$C22,$H$13)</f>
        <v>95531.080258134403</v>
      </c>
      <c r="L22" s="71">
        <f>_xll.DBRW($C$9,$D$13,$C$13,$F$13,L$15,$C22,$H$13)</f>
        <v>95137.220861118753</v>
      </c>
      <c r="M22" s="71">
        <f>_xll.DBRW($C$9,$D$13,$C$13,$F$13,M$15,$C22,$H$13)</f>
        <v>100647.79936533203</v>
      </c>
      <c r="N22" s="71">
        <f>_xll.DBRW($C$9,$D$13,$C$13,$F$13,N$15,$C22,$H$13)</f>
        <v>106883.30259226156</v>
      </c>
      <c r="O22" s="71">
        <f>_xll.DBRW($C$9,$D$13,$C$13,$F$13,O$15,$C22,$H$13)</f>
        <v>128513.47058134759</v>
      </c>
      <c r="P22" s="71">
        <f>_xll.DBRW($C$9,$D$13,$C$13,$F$13,P$15,$C22,$H$13)</f>
        <v>154844.09748641064</v>
      </c>
    </row>
    <row r="23" spans="1:16" x14ac:dyDescent="0.3">
      <c r="A23">
        <f>IF(_xll.TM1RPTELISCONSOLIDATED($C$16,$C23),IF(_xll.TM1RPTELLEV($C$16,$C23)&lt;=3,_xll.TM1RPTELLEV($C$16,$C23),"D"),"N")</f>
        <v>3</v>
      </c>
      <c r="C23" s="111" t="s">
        <v>27</v>
      </c>
      <c r="D23" s="72">
        <f>_xll.DBRW($C$9,$D$13,$C$13,$F$13,D$15,$C23,$H$13)</f>
        <v>421368.13733823766</v>
      </c>
      <c r="E23" s="71">
        <f>_xll.DBRW($C$9,$D$13,$C$13,$F$13,E$15,$C23,$H$13)</f>
        <v>35104.411577762417</v>
      </c>
      <c r="F23" s="71">
        <f>_xll.DBRW($C$9,$D$13,$C$13,$F$13,F$15,$C23,$H$13)</f>
        <v>35032.278375532638</v>
      </c>
      <c r="G23" s="71">
        <f>_xll.DBRW($C$9,$D$13,$C$13,$F$13,G$15,$C23,$H$13)</f>
        <v>34926.403460486836</v>
      </c>
      <c r="H23" s="71">
        <f>_xll.DBRW($C$9,$D$13,$C$13,$F$13,H$15,$C23,$H$13)</f>
        <v>35060.279754095885</v>
      </c>
      <c r="I23" s="71">
        <f>_xll.DBRW($C$9,$D$13,$C$13,$F$13,I$15,$C23,$H$13)</f>
        <v>35139.366026891919</v>
      </c>
      <c r="J23" s="71">
        <f>_xll.DBRW($C$9,$D$13,$C$13,$F$13,J$15,$C23,$H$13)</f>
        <v>35005.873650255686</v>
      </c>
      <c r="K23" s="71">
        <f>_xll.DBRW($C$9,$D$13,$C$13,$F$13,K$15,$C23,$H$13)</f>
        <v>35056.032314810524</v>
      </c>
      <c r="L23" s="71">
        <f>_xll.DBRW($C$9,$D$13,$C$13,$F$13,L$15,$C23,$H$13)</f>
        <v>35275.813908633871</v>
      </c>
      <c r="M23" s="71">
        <f>_xll.DBRW($C$9,$D$13,$C$13,$F$13,M$15,$C23,$H$13)</f>
        <v>34953.411483863929</v>
      </c>
      <c r="N23" s="71">
        <f>_xll.DBRW($C$9,$D$13,$C$13,$F$13,N$15,$C23,$H$13)</f>
        <v>35312.578252063817</v>
      </c>
      <c r="O23" s="71">
        <f>_xll.DBRW($C$9,$D$13,$C$13,$F$13,O$15,$C23,$H$13)</f>
        <v>35238.257378673952</v>
      </c>
      <c r="P23" s="71">
        <f>_xll.DBRW($C$9,$D$13,$C$13,$F$13,P$15,$C23,$H$13)</f>
        <v>35263.431155166283</v>
      </c>
    </row>
    <row r="24" spans="1:16" x14ac:dyDescent="0.3">
      <c r="A24">
        <f>IF(_xll.TM1RPTELISCONSOLIDATED($C$16,$C24),IF(_xll.TM1RPTELLEV($C$16,$C24)&lt;=3,_xll.TM1RPTELLEV($C$16,$C24),"D"),"N")</f>
        <v>3</v>
      </c>
      <c r="C24" s="111" t="s">
        <v>28</v>
      </c>
      <c r="D24" s="72">
        <f>_xll.DBRW($C$9,$D$13,$C$13,$F$13,D$15,$C24,$H$13)</f>
        <v>975687.27732641622</v>
      </c>
      <c r="E24" s="71">
        <f>_xll.DBRW($C$9,$D$13,$C$13,$F$13,E$15,$C24,$H$13)</f>
        <v>39686.534180149261</v>
      </c>
      <c r="F24" s="71">
        <f>_xll.DBRW($C$9,$D$13,$C$13,$F$13,F$15,$C24,$H$13)</f>
        <v>44173.216191985928</v>
      </c>
      <c r="G24" s="71">
        <f>_xll.DBRW($C$9,$D$13,$C$13,$F$13,G$15,$C24,$H$13)</f>
        <v>60640.177339440554</v>
      </c>
      <c r="H24" s="71">
        <f>_xll.DBRW($C$9,$D$13,$C$13,$F$13,H$15,$C24,$H$13)</f>
        <v>69261.871715271598</v>
      </c>
      <c r="I24" s="71">
        <f>_xll.DBRW($C$9,$D$13,$C$13,$F$13,I$15,$C24,$H$13)</f>
        <v>83042.203340036809</v>
      </c>
      <c r="J24" s="71">
        <f>_xll.DBRW($C$9,$D$13,$C$13,$F$13,J$15,$C24,$H$13)</f>
        <v>91464.112611500794</v>
      </c>
      <c r="K24" s="71">
        <f>_xll.DBRW($C$9,$D$13,$C$13,$F$13,K$15,$C24,$H$13)</f>
        <v>91151.480847039362</v>
      </c>
      <c r="L24" s="71">
        <f>_xll.DBRW($C$9,$D$13,$C$13,$F$13,L$15,$C24,$H$13)</f>
        <v>93793.639674538106</v>
      </c>
      <c r="M24" s="71">
        <f>_xll.DBRW($C$9,$D$13,$C$13,$F$13,M$15,$C24,$H$13)</f>
        <v>96721.570119811891</v>
      </c>
      <c r="N24" s="71">
        <f>_xll.DBRW($C$9,$D$13,$C$13,$F$13,N$15,$C24,$H$13)</f>
        <v>101398.46032539684</v>
      </c>
      <c r="O24" s="71">
        <f>_xll.DBRW($C$9,$D$13,$C$13,$F$13,O$15,$C24,$H$13)</f>
        <v>101841.39993569997</v>
      </c>
      <c r="P24" s="71">
        <f>_xll.DBRW($C$9,$D$13,$C$13,$F$13,P$15,$C24,$H$13)</f>
        <v>102512.6110455451</v>
      </c>
    </row>
    <row r="25" spans="1:16" x14ac:dyDescent="0.3">
      <c r="A25">
        <f>IF(_xll.TM1RPTELISCONSOLIDATED($C$16,$C25),IF(_xll.TM1RPTELLEV($C$16,$C25)&lt;=3,_xll.TM1RPTELLEV($C$16,$C25),"D"),"N")</f>
        <v>2</v>
      </c>
      <c r="C25" s="108" t="s">
        <v>29</v>
      </c>
      <c r="D25" s="72">
        <f>_xll.DBRW($C$9,$D$13,$C$13,$F$13,D$15,$C25,$H$13)</f>
        <v>4811296.6768905101</v>
      </c>
      <c r="E25" s="72">
        <f>_xll.DBRW($C$9,$D$13,$C$13,$F$13,E$15,$C25,$H$13)</f>
        <v>374553.56332937046</v>
      </c>
      <c r="F25" s="72">
        <f>_xll.DBRW($C$9,$D$13,$C$13,$F$13,F$15,$C25,$H$13)</f>
        <v>368510.60730970342</v>
      </c>
      <c r="G25" s="72">
        <f>_xll.DBRW($C$9,$D$13,$C$13,$F$13,G$15,$C25,$H$13)</f>
        <v>378541.0171416431</v>
      </c>
      <c r="H25" s="72">
        <f>_xll.DBRW($C$9,$D$13,$C$13,$F$13,H$15,$C25,$H$13)</f>
        <v>372048.24050460209</v>
      </c>
      <c r="I25" s="72">
        <f>_xll.DBRW($C$9,$D$13,$C$13,$F$13,I$15,$C25,$H$13)</f>
        <v>385879.66559958307</v>
      </c>
      <c r="J25" s="72">
        <f>_xll.DBRW($C$9,$D$13,$C$13,$F$13,J$15,$C25,$H$13)</f>
        <v>400741.10336874588</v>
      </c>
      <c r="K25" s="72">
        <f>_xll.DBRW($C$9,$D$13,$C$13,$F$13,K$15,$C25,$H$13)</f>
        <v>396422.51327663829</v>
      </c>
      <c r="L25" s="72">
        <f>_xll.DBRW($C$9,$D$13,$C$13,$F$13,L$15,$C25,$H$13)</f>
        <v>399115.2225097784</v>
      </c>
      <c r="M25" s="72">
        <f>_xll.DBRW($C$9,$D$13,$C$13,$F$13,M$15,$C25,$H$13)</f>
        <v>407729.52788227302</v>
      </c>
      <c r="N25" s="72">
        <f>_xll.DBRW($C$9,$D$13,$C$13,$F$13,N$15,$C25,$H$13)</f>
        <v>418953.131330445</v>
      </c>
      <c r="O25" s="72">
        <f>_xll.DBRW($C$9,$D$13,$C$13,$F$13,O$15,$C25,$H$13)</f>
        <v>440846.5730832619</v>
      </c>
      <c r="P25" s="72">
        <f>_xll.DBRW($C$9,$D$13,$C$13,$F$13,P$15,$C25,$H$13)</f>
        <v>467955.51155446767</v>
      </c>
    </row>
    <row r="26" spans="1:16" x14ac:dyDescent="0.3">
      <c r="A26">
        <f>IF(_xll.TM1RPTELISCONSOLIDATED($C$16,$C26),IF(_xll.TM1RPTELLEV($C$16,$C26)&lt;=3,_xll.TM1RPTELLEV($C$16,$C26),"D"),"N")</f>
        <v>1</v>
      </c>
      <c r="C26" s="109" t="s">
        <v>30</v>
      </c>
      <c r="D26" s="72">
        <f>_xll.DBRW($C$9,$D$13,$C$13,$F$13,D$15,$C26,$H$13)</f>
        <v>15093820.503314137</v>
      </c>
      <c r="E26" s="72">
        <f>_xll.DBRW($C$9,$D$13,$C$13,$F$13,E$15,$C26,$H$13)</f>
        <v>2270169.8162405319</v>
      </c>
      <c r="F26" s="72">
        <f>_xll.DBRW($C$9,$D$13,$C$13,$F$13,F$15,$C26,$H$13)</f>
        <v>1018504.0856698654</v>
      </c>
      <c r="G26" s="72">
        <f>_xll.DBRW($C$9,$D$13,$C$13,$F$13,G$15,$C26,$H$13)</f>
        <v>1059617.2626622058</v>
      </c>
      <c r="H26" s="72">
        <f>_xll.DBRW($C$9,$D$13,$C$13,$F$13,H$15,$C26,$H$13)</f>
        <v>1080065.454362097</v>
      </c>
      <c r="I26" s="72">
        <f>_xll.DBRW($C$9,$D$13,$C$13,$F$13,I$15,$C26,$H$13)</f>
        <v>1070049.8285040811</v>
      </c>
      <c r="J26" s="72">
        <f>_xll.DBRW($C$9,$D$13,$C$13,$F$13,J$15,$C26,$H$13)</f>
        <v>1054843.8419255652</v>
      </c>
      <c r="K26" s="72">
        <f>_xll.DBRW($C$9,$D$13,$C$13,$F$13,K$15,$C26,$H$13)</f>
        <v>1153120.4216888205</v>
      </c>
      <c r="L26" s="72">
        <f>_xll.DBRW($C$9,$D$13,$C$13,$F$13,L$15,$C26,$H$13)</f>
        <v>1174002.9703941939</v>
      </c>
      <c r="M26" s="72">
        <f>_xll.DBRW($C$9,$D$13,$C$13,$F$13,M$15,$C26,$H$13)</f>
        <v>1215726.918164039</v>
      </c>
      <c r="N26" s="72">
        <f>_xll.DBRW($C$9,$D$13,$C$13,$F$13,N$15,$C26,$H$13)</f>
        <v>1272601.9206463667</v>
      </c>
      <c r="O26" s="72">
        <f>_xll.DBRW($C$9,$D$13,$C$13,$F$13,O$15,$C26,$H$13)</f>
        <v>1314703.6158308664</v>
      </c>
      <c r="P26" s="72">
        <f>_xll.DBRW($C$9,$D$13,$C$13,$F$13,P$15,$C26,$H$13)</f>
        <v>1410414.3672255047</v>
      </c>
    </row>
    <row r="27" spans="1:16" x14ac:dyDescent="0.3">
      <c r="A27">
        <f>IF(_xll.TM1RPTELISCONSOLIDATED($C$16,$C27),IF(_xll.TM1RPTELLEV($C$16,$C27)&lt;=3,_xll.TM1RPTELLEV($C$16,$C27),"D"),"N")</f>
        <v>1</v>
      </c>
      <c r="C27" s="112" t="s">
        <v>31</v>
      </c>
      <c r="D27" s="72">
        <f>_xll.DBRW($C$9,$D$13,$C$13,$F$13,D$15,$C27,$H$13)</f>
        <v>0</v>
      </c>
      <c r="E27" s="72">
        <f>_xll.DBRW($C$9,$D$13,$C$13,$F$13,E$15,$C27,$H$13)</f>
        <v>0</v>
      </c>
      <c r="F27" s="72">
        <f>_xll.DBRW($C$9,$D$13,$C$13,$F$13,F$15,$C27,$H$13)</f>
        <v>0</v>
      </c>
      <c r="G27" s="72">
        <f>_xll.DBRW($C$9,$D$13,$C$13,$F$13,G$15,$C27,$H$13)</f>
        <v>0</v>
      </c>
      <c r="H27" s="72">
        <f>_xll.DBRW($C$9,$D$13,$C$13,$F$13,H$15,$C27,$H$13)</f>
        <v>0</v>
      </c>
      <c r="I27" s="72">
        <f>_xll.DBRW($C$9,$D$13,$C$13,$F$13,I$15,$C27,$H$13)</f>
        <v>0</v>
      </c>
      <c r="J27" s="72">
        <f>_xll.DBRW($C$9,$D$13,$C$13,$F$13,J$15,$C27,$H$13)</f>
        <v>0</v>
      </c>
      <c r="K27" s="72">
        <f>_xll.DBRW($C$9,$D$13,$C$13,$F$13,K$15,$C27,$H$13)</f>
        <v>0</v>
      </c>
      <c r="L27" s="72">
        <f>_xll.DBRW($C$9,$D$13,$C$13,$F$13,L$15,$C27,$H$13)</f>
        <v>0</v>
      </c>
      <c r="M27" s="72">
        <f>_xll.DBRW($C$9,$D$13,$C$13,$F$13,M$15,$C27,$H$13)</f>
        <v>0</v>
      </c>
      <c r="N27" s="72">
        <f>_xll.DBRW($C$9,$D$13,$C$13,$F$13,N$15,$C27,$H$13)</f>
        <v>0</v>
      </c>
      <c r="O27" s="72">
        <f>_xll.DBRW($C$9,$D$13,$C$13,$F$13,O$15,$C27,$H$13)</f>
        <v>0</v>
      </c>
      <c r="P27" s="72">
        <f>_xll.DBRW($C$9,$D$13,$C$13,$F$13,P$15,$C27,$H$13)</f>
        <v>0</v>
      </c>
    </row>
    <row r="28" spans="1:16" x14ac:dyDescent="0.3">
      <c r="A28">
        <f>IF(_xll.TM1RPTELISCONSOLIDATED($C$16,$C28),IF(_xll.TM1RPTELLEV($C$16,$C28)&lt;=3,_xll.TM1RPTELLEV($C$16,$C28),"D"),"N")</f>
        <v>0</v>
      </c>
      <c r="C28" s="110" t="s">
        <v>32</v>
      </c>
      <c r="D28" s="72">
        <f>_xll.DBRW($C$9,$D$13,$C$13,$F$13,D$15,$C28,$H$13)</f>
        <v>15093820.503314137</v>
      </c>
      <c r="E28" s="72">
        <f>_xll.DBRW($C$9,$D$13,$C$13,$F$13,E$15,$C28,$H$13)</f>
        <v>2270169.8162405319</v>
      </c>
      <c r="F28" s="72">
        <f>_xll.DBRW($C$9,$D$13,$C$13,$F$13,F$15,$C28,$H$13)</f>
        <v>1018504.0856698654</v>
      </c>
      <c r="G28" s="72">
        <f>_xll.DBRW($C$9,$D$13,$C$13,$F$13,G$15,$C28,$H$13)</f>
        <v>1059617.2626622058</v>
      </c>
      <c r="H28" s="72">
        <f>_xll.DBRW($C$9,$D$13,$C$13,$F$13,H$15,$C28,$H$13)</f>
        <v>1080065.454362097</v>
      </c>
      <c r="I28" s="72">
        <f>_xll.DBRW($C$9,$D$13,$C$13,$F$13,I$15,$C28,$H$13)</f>
        <v>1070049.8285040811</v>
      </c>
      <c r="J28" s="72">
        <f>_xll.DBRW($C$9,$D$13,$C$13,$F$13,J$15,$C28,$H$13)</f>
        <v>1054843.8419255652</v>
      </c>
      <c r="K28" s="72">
        <f>_xll.DBRW($C$9,$D$13,$C$13,$F$13,K$15,$C28,$H$13)</f>
        <v>1153120.4216888205</v>
      </c>
      <c r="L28" s="72">
        <f>_xll.DBRW($C$9,$D$13,$C$13,$F$13,L$15,$C28,$H$13)</f>
        <v>1174002.9703941939</v>
      </c>
      <c r="M28" s="72">
        <f>_xll.DBRW($C$9,$D$13,$C$13,$F$13,M$15,$C28,$H$13)</f>
        <v>1215726.918164039</v>
      </c>
      <c r="N28" s="72">
        <f>_xll.DBRW($C$9,$D$13,$C$13,$F$13,N$15,$C28,$H$13)</f>
        <v>1272601.9206463667</v>
      </c>
      <c r="O28" s="72">
        <f>_xll.DBRW($C$9,$D$13,$C$13,$F$13,O$15,$C28,$H$13)</f>
        <v>1314703.6158308664</v>
      </c>
      <c r="P28" s="72">
        <f>_xll.DBRW($C$9,$D$13,$C$13,$F$13,P$15,$C28,$H$13)</f>
        <v>1410414.3672255047</v>
      </c>
    </row>
  </sheetData>
  <mergeCells count="8">
    <mergeCell ref="J12:K12"/>
    <mergeCell ref="H13:I13"/>
    <mergeCell ref="H12:I12"/>
    <mergeCell ref="J13:K13"/>
    <mergeCell ref="D12:E12"/>
    <mergeCell ref="F12:G12"/>
    <mergeCell ref="D13:E13"/>
    <mergeCell ref="F13:G13"/>
  </mergeCells>
  <phoneticPr fontId="11" type="noConversion"/>
  <dataValidations count="1">
    <dataValidation type="list" allowBlank="1" showInputMessage="1" showErrorMessage="1" sqref="J13" xr:uid="{00000000-0002-0000-0100-000000000000}">
      <formula1>SelectYesNo</formula1>
    </dataValidation>
  </dataValidations>
  <pageMargins left="0.7" right="0.7" top="0.75" bottom="0.75" header="0.3" footer="0.3"/>
  <pageSetup orientation="portrait" r:id="rId1"/>
  <customProperties>
    <customPr name="TM1Actions" r:id="rId2"/>
  </customProperties>
  <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H21"/>
  <sheetViews>
    <sheetView showGridLines="0" showRowColHeaders="0" topLeftCell="B10" workbookViewId="0">
      <selection activeCell="H30" sqref="H30"/>
    </sheetView>
  </sheetViews>
  <sheetFormatPr defaultRowHeight="14.4" x14ac:dyDescent="0.3"/>
  <cols>
    <col min="1" max="1" width="2.6640625" hidden="1" customWidth="1"/>
    <col min="2" max="2" width="1.44140625" customWidth="1"/>
    <col min="3" max="3" width="27" bestFit="1" customWidth="1"/>
    <col min="4" max="4" width="18.88671875" bestFit="1" customWidth="1"/>
    <col min="5" max="5" width="15.88671875" bestFit="1" customWidth="1"/>
    <col min="6" max="6" width="14.33203125" customWidth="1"/>
    <col min="7" max="7" width="11.33203125" customWidth="1"/>
    <col min="8" max="8" width="26.5546875" bestFit="1" customWidth="1"/>
  </cols>
  <sheetData>
    <row r="1" spans="1:8" hidden="1" x14ac:dyDescent="0.3">
      <c r="A1" t="s">
        <v>9</v>
      </c>
      <c r="D1" s="29"/>
      <c r="F1" s="29"/>
      <c r="G1" s="29"/>
    </row>
    <row r="2" spans="1:8" hidden="1" x14ac:dyDescent="0.3">
      <c r="A2">
        <f>0</f>
        <v>0</v>
      </c>
      <c r="C2" s="60"/>
      <c r="D2" s="66"/>
      <c r="E2" s="50"/>
      <c r="F2" s="67"/>
      <c r="G2" s="74"/>
      <c r="H2" s="27"/>
    </row>
    <row r="3" spans="1:8" hidden="1" x14ac:dyDescent="0.3">
      <c r="A3">
        <f>1</f>
        <v>1</v>
      </c>
      <c r="C3" s="60"/>
      <c r="D3" s="66"/>
      <c r="E3" s="50"/>
      <c r="F3" s="67"/>
      <c r="G3" s="74"/>
      <c r="H3" s="27"/>
    </row>
    <row r="4" spans="1:8" hidden="1" x14ac:dyDescent="0.3">
      <c r="A4">
        <f>2</f>
        <v>2</v>
      </c>
      <c r="C4" s="61"/>
      <c r="D4" s="62"/>
      <c r="E4" s="48"/>
      <c r="F4" s="63"/>
      <c r="G4" s="73"/>
      <c r="H4" s="27"/>
    </row>
    <row r="5" spans="1:8" hidden="1" x14ac:dyDescent="0.3">
      <c r="A5">
        <f>3</f>
        <v>3</v>
      </c>
      <c r="C5" s="61"/>
      <c r="D5" s="62"/>
      <c r="E5" s="48"/>
      <c r="F5" s="63"/>
      <c r="G5" s="73"/>
      <c r="H5" s="27"/>
    </row>
    <row r="6" spans="1:8" hidden="1" x14ac:dyDescent="0.3">
      <c r="A6" t="s">
        <v>7</v>
      </c>
      <c r="C6" s="61"/>
      <c r="D6" s="62"/>
      <c r="E6" s="48"/>
      <c r="F6" s="63"/>
      <c r="G6" s="73"/>
      <c r="H6" s="28"/>
    </row>
    <row r="7" spans="1:8" hidden="1" x14ac:dyDescent="0.3">
      <c r="A7" t="s">
        <v>8</v>
      </c>
      <c r="C7" s="61"/>
      <c r="D7" s="62"/>
      <c r="E7" s="48"/>
      <c r="F7" s="63"/>
      <c r="G7" s="73"/>
      <c r="H7" s="28"/>
    </row>
    <row r="8" spans="1:8" hidden="1" x14ac:dyDescent="0.3">
      <c r="A8" t="s">
        <v>10</v>
      </c>
    </row>
    <row r="9" spans="1:8" hidden="1" x14ac:dyDescent="0.3">
      <c r="C9" t="str">
        <f>_xll.TM1RPTVIEW("24retail:Income Statement:1", 0, _xll.TM1RPTTITLE("24retail:Currency Calc",$D$13), _xll.TM1RPTTITLE("24retail:Year",$E$13), _xll.TM1RPTTITLE("24retail:Month",$F$13), _xll.TM1RPTTITLE("24retail:Account",$C$13),TM1RPTFMTRNG,TM1RPTFMTIDCOL)</f>
        <v>24retail:Income Statement:1</v>
      </c>
    </row>
    <row r="10" spans="1:8" ht="29.25" customHeight="1" thickBot="1" x14ac:dyDescent="0.35">
      <c r="A10" s="14"/>
      <c r="B10" s="23"/>
      <c r="C10" s="57"/>
      <c r="D10" s="57"/>
      <c r="E10" s="57"/>
      <c r="F10" s="57"/>
      <c r="G10" s="57"/>
      <c r="H10" s="57"/>
    </row>
    <row r="11" spans="1:8" ht="28.5" customHeight="1" x14ac:dyDescent="0.3"/>
    <row r="12" spans="1:8" ht="15" customHeight="1" x14ac:dyDescent="0.3">
      <c r="C12" s="17" t="s">
        <v>0</v>
      </c>
      <c r="D12" s="18" t="s">
        <v>1</v>
      </c>
      <c r="E12" s="18" t="s">
        <v>3</v>
      </c>
      <c r="F12" s="18" t="s">
        <v>2</v>
      </c>
      <c r="G12" s="97" t="s">
        <v>14</v>
      </c>
      <c r="H12" s="97"/>
    </row>
    <row r="13" spans="1:8" s="39" customFormat="1" ht="15" customHeight="1" x14ac:dyDescent="0.2">
      <c r="C13" s="59" t="str">
        <f>_xll.SUBNM("24retail:Account","","6299 TRAVEL","Caption_Default")</f>
        <v>6299 TRAVEL</v>
      </c>
      <c r="D13" s="59" t="str">
        <f>_xll.SUBNM("24retail:Currency Calc","Default","Local","")</f>
        <v>Local</v>
      </c>
      <c r="E13" s="59" t="str">
        <f>_xll.SUBNM("24retail:Year","Default","Y2","Caption_Default")</f>
        <v>2015</v>
      </c>
      <c r="F13" s="59" t="str">
        <f>_xll.SUBNM("24retail:Month","MY","Year","")</f>
        <v>Year</v>
      </c>
      <c r="G13" s="98" t="s">
        <v>71</v>
      </c>
      <c r="H13" s="98"/>
    </row>
    <row r="15" spans="1:8" ht="15" thickBot="1" x14ac:dyDescent="0.35">
      <c r="C15" s="70"/>
      <c r="D15" s="70" t="s">
        <v>75</v>
      </c>
      <c r="E15" s="70" t="s">
        <v>5</v>
      </c>
      <c r="F15" s="70" t="s">
        <v>18</v>
      </c>
      <c r="G15" s="70" t="s">
        <v>74</v>
      </c>
      <c r="H15" s="70" t="s">
        <v>19</v>
      </c>
    </row>
    <row r="16" spans="1:8" ht="15" hidden="1" thickTop="1" x14ac:dyDescent="0.3">
      <c r="D16" s="26" t="s">
        <v>4</v>
      </c>
      <c r="E16" s="26" t="s">
        <v>5</v>
      </c>
      <c r="F16" s="26" t="s">
        <v>20</v>
      </c>
      <c r="G16" s="26" t="s">
        <v>76</v>
      </c>
      <c r="H16" s="26" t="s">
        <v>19</v>
      </c>
    </row>
    <row r="17" spans="1:8" ht="15" thickTop="1" x14ac:dyDescent="0.3">
      <c r="A17">
        <f>IF(_xll.TM1RPTELISCONSOLIDATED($C$17,$C17),IF(_xll.TM1RPTELLEV($C$17,$C17)&lt;=3,_xll.TM1RPTELLEV($C$17,$C17),"D"),"N")</f>
        <v>1</v>
      </c>
      <c r="C17" s="101" t="str">
        <f>_xll.TM1RPTROW($C$9,"24retail:organization",$G$13,,"Caption_Default",1)</f>
        <v>100</v>
      </c>
      <c r="D17" s="66">
        <f>_xll.DBRW($C$9,$D$13,$C17,$E$13,$F$13,$C$13,D$16)</f>
        <v>131509.46261496472</v>
      </c>
      <c r="E17" s="50">
        <f>_xll.DBRW($C$9,$D$13,$C17,$E$13,$F$13,$C$13,E$16)</f>
        <v>0</v>
      </c>
      <c r="F17" s="67">
        <f>_xll.DBRW($C$9,$D$13,$C17,$E$13,$F$13,$C$13,F$16)</f>
        <v>131509.46261496472</v>
      </c>
      <c r="G17" s="74">
        <f>_xll.DBRW($C$9,$D$13,$C17,$E$13,$F$13,$C$13,G$16)</f>
        <v>100.00035177437645</v>
      </c>
      <c r="H17" s="27" t="str">
        <f>_xll.DBRW($C$9,$D$13,$C17,$E$13,$F$13,$C$13,H$16)</f>
        <v/>
      </c>
    </row>
    <row r="18" spans="1:8" x14ac:dyDescent="0.3">
      <c r="A18">
        <f>IF(_xll.TM1RPTELISCONSOLIDATED($C$17,$C18),IF(_xll.TM1RPTELLEV($C$17,$C18)&lt;=3,_xll.TM1RPTELLEV($C$17,$C18),"D"),"N")</f>
        <v>1</v>
      </c>
      <c r="C18" s="101" t="s">
        <v>93</v>
      </c>
      <c r="D18" s="66">
        <f>_xll.DBRW($C$9,$D$13,$C18,$E$13,$F$13,$C$13,D$16)</f>
        <v>85745.060454682549</v>
      </c>
      <c r="E18" s="50">
        <f>_xll.DBRW($C$9,$D$13,$C18,$E$13,$F$13,$C$13,E$16)</f>
        <v>42948</v>
      </c>
      <c r="F18" s="67">
        <f>_xll.DBRW($C$9,$D$13,$C18,$E$13,$F$13,$C$13,F$16)</f>
        <v>42797.060454682549</v>
      </c>
      <c r="G18" s="74">
        <f>_xll.DBRW($C$9,$D$13,$C18,$E$13,$F$13,$C$13,G$16)</f>
        <v>49.912018723753626</v>
      </c>
      <c r="H18" s="27" t="str">
        <f>_xll.DBRW($C$9,$D$13,$C18,$E$13,$F$13,$C$13,H$16)</f>
        <v/>
      </c>
    </row>
    <row r="19" spans="1:8" x14ac:dyDescent="0.3">
      <c r="A19">
        <f>IF(_xll.TM1RPTELISCONSOLIDATED($C$17,$C19),IF(_xll.TM1RPTELLEV($C$17,$C19)&lt;=3,_xll.TM1RPTELLEV($C$17,$C19),"D"),"N")</f>
        <v>1</v>
      </c>
      <c r="C19" s="101" t="s">
        <v>94</v>
      </c>
      <c r="D19" s="66">
        <f>_xll.DBRW($C$9,$D$13,$C19,$E$13,$F$13,$C$13,D$16)</f>
        <v>85922.828703132473</v>
      </c>
      <c r="E19" s="50">
        <f>_xll.DBRW($C$9,$D$13,$C19,$E$13,$F$13,$C$13,E$16)</f>
        <v>83478.959399235056</v>
      </c>
      <c r="F19" s="67">
        <f>_xll.DBRW($C$9,$D$13,$C19,$E$13,$F$13,$C$13,F$16)</f>
        <v>2443.8693038974161</v>
      </c>
      <c r="G19" s="74">
        <f>_xll.DBRW($C$9,$D$13,$C19,$E$13,$F$13,$C$13,G$16)</f>
        <v>2.8442550933945694</v>
      </c>
      <c r="H19" s="27" t="str">
        <f>_xll.DBRW($C$9,$D$13,$C19,$E$13,$F$13,$C$13,H$16)</f>
        <v/>
      </c>
    </row>
    <row r="20" spans="1:8" x14ac:dyDescent="0.3">
      <c r="A20">
        <f>IF(_xll.TM1RPTELISCONSOLIDATED($C$17,$C20),IF(_xll.TM1RPTELLEV($C$17,$C20)&lt;=3,_xll.TM1RPTELLEV($C$17,$C20),"D"),"N")</f>
        <v>1</v>
      </c>
      <c r="C20" s="101" t="s">
        <v>95</v>
      </c>
      <c r="D20" s="66">
        <f>_xll.DBRW($C$9,$D$13,$C20,$E$13,$F$13,$C$13,D$16)</f>
        <v>129214.7478859855</v>
      </c>
      <c r="E20" s="50">
        <f>_xll.DBRW($C$9,$D$13,$C20,$E$13,$F$13,$C$13,E$16)</f>
        <v>46826.065107823357</v>
      </c>
      <c r="F20" s="67">
        <f>_xll.DBRW($C$9,$D$13,$C20,$E$13,$F$13,$C$13,F$16)</f>
        <v>82388.682778162154</v>
      </c>
      <c r="G20" s="74">
        <f>_xll.DBRW($C$9,$D$13,$C20,$E$13,$F$13,$C$13,G$16)</f>
        <v>63.760927739165076</v>
      </c>
      <c r="H20" s="27" t="str">
        <f>_xll.DBRW($C$9,$D$13,$C20,$E$13,$F$13,$C$13,H$16)</f>
        <v/>
      </c>
    </row>
    <row r="21" spans="1:8" x14ac:dyDescent="0.3">
      <c r="A21">
        <f>IF(_xll.TM1RPTELISCONSOLIDATED($C$17,$C21),IF(_xll.TM1RPTELLEV($C$17,$C21)&lt;=3,_xll.TM1RPTELLEV($C$17,$C21),"D"),"N")</f>
        <v>0</v>
      </c>
      <c r="C21" s="102" t="s">
        <v>91</v>
      </c>
      <c r="D21" s="66">
        <f>_xll.DBRW($C$9,$D$13,$C21,$E$13,$F$13,$C$13,D$16)</f>
        <v>432392.09965876531</v>
      </c>
      <c r="E21" s="50">
        <f>_xll.DBRW($C$9,$D$13,$C21,$E$13,$F$13,$C$13,E$16)</f>
        <v>173253.02450705846</v>
      </c>
      <c r="F21" s="67">
        <f>_xll.DBRW($C$9,$D$13,$C21,$E$13,$F$13,$C$13,F$16)</f>
        <v>259139.07515170678</v>
      </c>
      <c r="G21" s="74">
        <f>_xll.DBRW($C$9,$D$13,$C21,$E$13,$F$13,$C$13,G$16)</f>
        <v>59.931514725459024</v>
      </c>
      <c r="H21" s="27" t="str">
        <f>_xll.DBRW($C$9,$D$13,$C21,$E$13,$F$13,$C$13,H$16)</f>
        <v/>
      </c>
    </row>
  </sheetData>
  <mergeCells count="2">
    <mergeCell ref="G12:H12"/>
    <mergeCell ref="G13:H13"/>
  </mergeCells>
  <phoneticPr fontId="11" type="noConversion"/>
  <dataValidations count="1">
    <dataValidation type="list" allowBlank="1" showInputMessage="1" showErrorMessage="1" sqref="G13" xr:uid="{00000000-0002-0000-0200-000000000000}">
      <formula1>Org</formula1>
    </dataValidation>
  </dataValidations>
  <pageMargins left="0.75" right="0.75" top="1" bottom="1" header="0.5" footer="0.5"/>
  <pageSetup paperSize="9" orientation="portrait" r:id="rId1"/>
  <headerFooter alignWithMargins="0"/>
  <customProperties>
    <customPr name="TM1Actions" r:id="rId2"/>
  </customProperties>
  <drawing r:id="rId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G24"/>
  <sheetViews>
    <sheetView showGridLines="0" showRowColHeaders="0" topLeftCell="A2" workbookViewId="0">
      <selection activeCell="I7" sqref="I7"/>
    </sheetView>
  </sheetViews>
  <sheetFormatPr defaultRowHeight="14.4" x14ac:dyDescent="0.3"/>
  <cols>
    <col min="1" max="1" width="1.33203125" customWidth="1"/>
    <col min="2" max="2" width="29" customWidth="1"/>
    <col min="3" max="3" width="25.5546875" hidden="1" customWidth="1"/>
    <col min="4" max="6" width="18.6640625" customWidth="1"/>
    <col min="7" max="7" width="13.5546875" customWidth="1"/>
  </cols>
  <sheetData>
    <row r="1" spans="1:7" hidden="1" x14ac:dyDescent="0.3">
      <c r="B1" t="s">
        <v>49</v>
      </c>
      <c r="D1" t="str">
        <f>_xll.VIEW("24retail:Income Statement",$D$5,$B$5,$G$5,$E$5,"!","!")</f>
        <v>24retail:Income Statement</v>
      </c>
    </row>
    <row r="2" spans="1:7" ht="28.5" customHeight="1" x14ac:dyDescent="0.3">
      <c r="A2" s="23"/>
      <c r="B2" s="57"/>
      <c r="C2" s="57"/>
      <c r="D2" s="57"/>
      <c r="E2" s="57"/>
      <c r="F2" s="57"/>
      <c r="G2" s="57"/>
    </row>
    <row r="3" spans="1:7" ht="7.5" customHeight="1" x14ac:dyDescent="0.3"/>
    <row r="4" spans="1:7" s="43" customFormat="1" ht="15" customHeight="1" x14ac:dyDescent="0.3">
      <c r="B4" s="24" t="s">
        <v>11</v>
      </c>
      <c r="C4" s="24"/>
      <c r="D4" s="25" t="s">
        <v>12</v>
      </c>
      <c r="E4" s="99" t="s">
        <v>2</v>
      </c>
      <c r="F4" s="99"/>
      <c r="G4" s="24" t="s">
        <v>3</v>
      </c>
    </row>
    <row r="5" spans="1:7" s="42" customFormat="1" ht="15" customHeight="1" x14ac:dyDescent="0.3">
      <c r="B5" s="75" t="str">
        <f>_xll.SUBNM("24retail:organization","Workflow","Total Company","Caption_Default")</f>
        <v>Total Company</v>
      </c>
      <c r="C5" s="75"/>
      <c r="D5" s="75" t="str">
        <f>_xll.SUBNM("24retail:Currency Calc","","Local")</f>
        <v>Local</v>
      </c>
      <c r="E5" s="100" t="str">
        <f>_xll.SUBNM("24retail:Month","MY","Year")</f>
        <v>Year</v>
      </c>
      <c r="F5" s="100"/>
      <c r="G5" s="75" t="str">
        <f>_xll.SUBNM("24retail:Year","Default","Y2","Caption_Default")</f>
        <v>2015</v>
      </c>
    </row>
    <row r="6" spans="1:7" ht="6.75" customHeight="1" x14ac:dyDescent="0.3"/>
    <row r="7" spans="1:7" s="3" customFormat="1" ht="19.5" customHeight="1" thickBot="1" x14ac:dyDescent="0.35">
      <c r="B7" s="70"/>
      <c r="C7" s="70"/>
      <c r="D7" s="70" t="s">
        <v>17</v>
      </c>
      <c r="E7" s="70" t="s">
        <v>5</v>
      </c>
      <c r="F7" s="70" t="s">
        <v>18</v>
      </c>
      <c r="G7" s="70" t="s">
        <v>74</v>
      </c>
    </row>
    <row r="8" spans="1:7" ht="15" hidden="1" thickTop="1" x14ac:dyDescent="0.3">
      <c r="D8" s="6" t="s">
        <v>4</v>
      </c>
      <c r="E8" s="6" t="s">
        <v>5</v>
      </c>
      <c r="F8" s="30" t="s">
        <v>20</v>
      </c>
      <c r="G8" s="30" t="s">
        <v>76</v>
      </c>
    </row>
    <row r="9" spans="1:7" s="3" customFormat="1" ht="15" customHeight="1" thickTop="1" x14ac:dyDescent="0.3">
      <c r="B9" s="31" t="s">
        <v>22</v>
      </c>
      <c r="C9" s="31"/>
      <c r="D9" s="76"/>
      <c r="E9" s="32"/>
      <c r="F9" s="76"/>
      <c r="G9" s="85"/>
    </row>
    <row r="10" spans="1:7" s="39" customFormat="1" ht="15" customHeight="1" x14ac:dyDescent="0.25">
      <c r="B10" s="46" t="s">
        <v>50</v>
      </c>
      <c r="C10" s="47" t="s">
        <v>51</v>
      </c>
      <c r="D10" s="62">
        <f>_xll.DBRW($D$1,$D$5,$B$5,$G$5,$E$5,$C10,D$8)</f>
        <v>92589659.236427188</v>
      </c>
      <c r="E10" s="48">
        <f>_xll.DBRW($D$1,$D$5,$B$5,$G$5,$E$5,$C10,E$8)</f>
        <v>42742435.803093538</v>
      </c>
      <c r="F10" s="63">
        <f>_xll.DBRW($D$1,$D$5,$B$5,$G$5,$E$5,$C10,F$8)</f>
        <v>-49847223.433333635</v>
      </c>
      <c r="G10" s="86">
        <f>_xll.DBRW($D$1,$D$5,$B$5,$G$5,$E$5,$C10,G$8)</f>
        <v>-53.836707005621044</v>
      </c>
    </row>
    <row r="11" spans="1:7" s="39" customFormat="1" ht="15" customHeight="1" x14ac:dyDescent="0.25">
      <c r="B11" s="46" t="s">
        <v>52</v>
      </c>
      <c r="C11" s="47" t="s">
        <v>21</v>
      </c>
      <c r="D11" s="62">
        <f>_xll.DBRW($D$1,$D$5,$B$5,$G$5,$E$5,$C11,D$8)</f>
        <v>55020115.689027883</v>
      </c>
      <c r="E11" s="48">
        <f>_xll.DBRW($D$1,$D$5,$B$5,$G$5,$E$5,$C11,E$8)</f>
        <v>22837318.622888871</v>
      </c>
      <c r="F11" s="63">
        <f>_xll.DBRW($D$1,$D$5,$B$5,$G$5,$E$5,$C11,F$8)</f>
        <v>32182797.066139013</v>
      </c>
      <c r="G11" s="86">
        <f>_xll.DBRW($D$1,$D$5,$B$5,$G$5,$E$5,$C11,G$8)</f>
        <v>58.492783014377892</v>
      </c>
    </row>
    <row r="12" spans="1:7" s="45" customFormat="1" ht="15" customHeight="1" x14ac:dyDescent="0.25">
      <c r="B12" s="49" t="s">
        <v>22</v>
      </c>
      <c r="C12" s="47" t="s">
        <v>22</v>
      </c>
      <c r="D12" s="77">
        <f>_xll.DBRW($D$1,$D$5,$B$5,$G$5,$E$5,$C12,D$8)</f>
        <v>37569543.547399305</v>
      </c>
      <c r="E12" s="53">
        <f>_xll.DBRW($D$1,$D$5,$B$5,$G$5,$E$5,$C12,E$8)</f>
        <v>19905117.180204667</v>
      </c>
      <c r="F12" s="81">
        <f>_xll.DBRW($D$1,$D$5,$B$5,$G$5,$E$5,$C12,F$8)</f>
        <v>-17664426.367194623</v>
      </c>
      <c r="G12" s="87">
        <f>_xll.DBRW($D$1,$D$5,$B$5,$G$5,$E$5,$C12,G$8)</f>
        <v>-47.017941892493084</v>
      </c>
    </row>
    <row r="13" spans="1:7" s="44" customFormat="1" ht="15" customHeight="1" x14ac:dyDescent="0.25">
      <c r="B13" s="31" t="s">
        <v>53</v>
      </c>
      <c r="C13" s="31"/>
      <c r="D13" s="78"/>
      <c r="E13" s="33"/>
      <c r="F13" s="82"/>
      <c r="G13" s="88"/>
    </row>
    <row r="14" spans="1:7" s="45" customFormat="1" ht="15" customHeight="1" x14ac:dyDescent="0.25">
      <c r="B14" s="46" t="s">
        <v>54</v>
      </c>
      <c r="C14" s="47" t="s">
        <v>23</v>
      </c>
      <c r="D14" s="62">
        <f>_xll.DBRW($D$1,$D$5,$B$5,$G$5,$E$5,$C14,D$8)</f>
        <v>2663600.2813968216</v>
      </c>
      <c r="E14" s="48">
        <f>_xll.DBRW($D$1,$D$5,$B$5,$G$5,$E$5,$C14,E$8)</f>
        <v>1648935.500027223</v>
      </c>
      <c r="F14" s="63">
        <f>_xll.DBRW($D$1,$D$5,$B$5,$G$5,$E$5,$C14,F$8)</f>
        <v>1014664.7813695995</v>
      </c>
      <c r="G14" s="86">
        <f>_xll.DBRW($D$1,$D$5,$B$5,$G$5,$E$5,$C14,G$8)</f>
        <v>38.093737099023862</v>
      </c>
    </row>
    <row r="15" spans="1:7" s="45" customFormat="1" ht="15" customHeight="1" x14ac:dyDescent="0.25">
      <c r="B15" s="46" t="s">
        <v>55</v>
      </c>
      <c r="C15" s="47" t="s">
        <v>24</v>
      </c>
      <c r="D15" s="62">
        <f>_xll.DBRW($D$1,$D$5,$B$5,$G$5,$E$5,$C15,D$8)</f>
        <v>660030.12528623524</v>
      </c>
      <c r="E15" s="48">
        <f>_xll.DBRW($D$1,$D$5,$B$5,$G$5,$E$5,$C15,E$8)</f>
        <v>264032.53924754675</v>
      </c>
      <c r="F15" s="63">
        <f>_xll.DBRW($D$1,$D$5,$B$5,$G$5,$E$5,$C15,F$8)</f>
        <v>395997.58603868849</v>
      </c>
      <c r="G15" s="86">
        <f>_xll.DBRW($D$1,$D$5,$B$5,$G$5,$E$5,$C15,G$8)</f>
        <v>59.996907116144492</v>
      </c>
    </row>
    <row r="16" spans="1:7" s="45" customFormat="1" ht="15" customHeight="1" x14ac:dyDescent="0.25">
      <c r="B16" s="46" t="s">
        <v>56</v>
      </c>
      <c r="C16" s="47" t="s">
        <v>25</v>
      </c>
      <c r="D16" s="62">
        <f>_xll.DBRW($D$1,$D$5,$B$5,$G$5,$E$5,$C16,D$8)</f>
        <v>432392.09965876531</v>
      </c>
      <c r="E16" s="48">
        <f>_xll.DBRW($D$1,$D$5,$B$5,$G$5,$E$5,$C16,E$8)</f>
        <v>173253.02450705846</v>
      </c>
      <c r="F16" s="63">
        <f>_xll.DBRW($D$1,$D$5,$B$5,$G$5,$E$5,$C16,F$8)</f>
        <v>259139.07515170678</v>
      </c>
      <c r="G16" s="86">
        <f>_xll.DBRW($D$1,$D$5,$B$5,$G$5,$E$5,$C16,G$8)</f>
        <v>59.931514725459024</v>
      </c>
    </row>
    <row r="17" spans="2:7" s="45" customFormat="1" ht="15" customHeight="1" x14ac:dyDescent="0.25">
      <c r="B17" s="46" t="s">
        <v>57</v>
      </c>
      <c r="C17" s="47" t="s">
        <v>26</v>
      </c>
      <c r="D17" s="62">
        <f>_xll.DBRW($D$1,$D$5,$B$5,$G$5,$E$5,$C17,D$8)</f>
        <v>3452082.5291492152</v>
      </c>
      <c r="E17" s="48">
        <f>_xll.DBRW($D$1,$D$5,$B$5,$G$5,$E$5,$C17,E$8)</f>
        <v>1328020.1984440302</v>
      </c>
      <c r="F17" s="63">
        <f>_xll.DBRW($D$1,$D$5,$B$5,$G$5,$E$5,$C17,F$8)</f>
        <v>2124062.330705185</v>
      </c>
      <c r="G17" s="86">
        <f>_xll.DBRW($D$1,$D$5,$B$5,$G$5,$E$5,$C17,G$8)</f>
        <v>61.529874302129613</v>
      </c>
    </row>
    <row r="18" spans="2:7" s="45" customFormat="1" ht="15" customHeight="1" x14ac:dyDescent="0.25">
      <c r="B18" s="46" t="s">
        <v>34</v>
      </c>
      <c r="C18" s="47" t="s">
        <v>27</v>
      </c>
      <c r="D18" s="62">
        <f>_xll.DBRW($D$1,$D$5,$B$5,$G$5,$E$5,$C18,D$8)</f>
        <v>1004178.2214687511</v>
      </c>
      <c r="E18" s="48">
        <f>_xll.DBRW($D$1,$D$5,$B$5,$G$5,$E$5,$C18,E$8)</f>
        <v>421368.13733823766</v>
      </c>
      <c r="F18" s="63">
        <f>_xll.DBRW($D$1,$D$5,$B$5,$G$5,$E$5,$C18,F$8)</f>
        <v>582810.08413051348</v>
      </c>
      <c r="G18" s="86">
        <f>_xll.DBRW($D$1,$D$5,$B$5,$G$5,$E$5,$C18,G$8)</f>
        <v>58.038523462027001</v>
      </c>
    </row>
    <row r="19" spans="2:7" s="45" customFormat="1" ht="15" customHeight="1" x14ac:dyDescent="0.25">
      <c r="B19" s="46" t="s">
        <v>58</v>
      </c>
      <c r="C19" s="47" t="s">
        <v>28</v>
      </c>
      <c r="D19" s="62">
        <f>_xll.DBRW($D$1,$D$5,$B$5,$G$5,$E$5,$C19,D$8)</f>
        <v>2127264.3970804173</v>
      </c>
      <c r="E19" s="48">
        <f>_xll.DBRW($D$1,$D$5,$B$5,$G$5,$E$5,$C19,E$8)</f>
        <v>975687.27732641576</v>
      </c>
      <c r="F19" s="63">
        <f>_xll.DBRW($D$1,$D$5,$B$5,$G$5,$E$5,$C19,F$8)</f>
        <v>1151577.119754001</v>
      </c>
      <c r="G19" s="86">
        <f>_xll.DBRW($D$1,$D$5,$B$5,$G$5,$E$5,$C19,G$8)</f>
        <v>54.134189256904698</v>
      </c>
    </row>
    <row r="20" spans="2:7" s="45" customFormat="1" ht="15" customHeight="1" x14ac:dyDescent="0.25">
      <c r="B20" s="49" t="s">
        <v>29</v>
      </c>
      <c r="C20" s="47" t="s">
        <v>29</v>
      </c>
      <c r="D20" s="79">
        <f>_xll.DBRW($D$1,$D$5,$B$5,$G$5,$E$5,$C20,D$8)</f>
        <v>10339547.654040206</v>
      </c>
      <c r="E20" s="52">
        <f>_xll.DBRW($D$1,$D$5,$B$5,$G$5,$E$5,$C20,E$8)</f>
        <v>4811296.676890512</v>
      </c>
      <c r="F20" s="83">
        <f>_xll.DBRW($D$1,$D$5,$B$5,$G$5,$E$5,$C20,F$8)</f>
        <v>5528250.9771496942</v>
      </c>
      <c r="G20" s="89">
        <f>_xll.DBRW($D$1,$D$5,$B$5,$G$5,$E$5,$C20,G$8)</f>
        <v>53.467046887830051</v>
      </c>
    </row>
    <row r="21" spans="2:7" s="45" customFormat="1" ht="15" customHeight="1" x14ac:dyDescent="0.25">
      <c r="B21" s="51" t="s">
        <v>30</v>
      </c>
      <c r="C21" s="47" t="s">
        <v>30</v>
      </c>
      <c r="D21" s="66">
        <f>_xll.DBRW($D$1,$D$5,$B$5,$G$5,$E$5,$C21,D$8)</f>
        <v>27229995.89335911</v>
      </c>
      <c r="E21" s="50">
        <f>_xll.DBRW($D$1,$D$5,$B$5,$G$5,$E$5,$C21,E$8)</f>
        <v>15093820.503314156</v>
      </c>
      <c r="F21" s="67">
        <f>_xll.DBRW($D$1,$D$5,$B$5,$G$5,$E$5,$C21,F$8)</f>
        <v>-12136175.390044939</v>
      </c>
      <c r="G21" s="90">
        <f>_xll.DBRW($D$1,$D$5,$B$5,$G$5,$E$5,$C21,G$8)</f>
        <v>-44.56914128832387</v>
      </c>
    </row>
    <row r="22" spans="2:7" s="45" customFormat="1" ht="15" customHeight="1" x14ac:dyDescent="0.25">
      <c r="B22" s="51" t="s">
        <v>59</v>
      </c>
      <c r="C22" s="47" t="s">
        <v>31</v>
      </c>
      <c r="D22" s="66">
        <f>_xll.DBRW($D$1,$D$5,$B$5,$G$5,$E$5,$C22,D$8)</f>
        <v>567366.42047621834</v>
      </c>
      <c r="E22" s="50">
        <f>_xll.DBRW($D$1,$D$5,$B$5,$G$5,$E$5,$C22,E$8)</f>
        <v>0</v>
      </c>
      <c r="F22" s="67">
        <f>_xll.DBRW($D$1,$D$5,$B$5,$G$5,$E$5,$C22,F$8)</f>
        <v>567366.42047621834</v>
      </c>
      <c r="G22" s="90">
        <f>_xll.DBRW($D$1,$D$5,$B$5,$G$5,$E$5,$C22,G$8)</f>
        <v>100.00007411022484</v>
      </c>
    </row>
    <row r="23" spans="2:7" s="45" customFormat="1" ht="15" customHeight="1" x14ac:dyDescent="0.2">
      <c r="B23" s="34" t="s">
        <v>32</v>
      </c>
      <c r="C23" s="35" t="s">
        <v>32</v>
      </c>
      <c r="D23" s="80">
        <f>_xll.DBRW($D$1,$D$5,$B$5,$G$5,$E$5,$C23,D$8)</f>
        <v>26662629.472882893</v>
      </c>
      <c r="E23" s="54">
        <f>_xll.DBRW($D$1,$D$5,$B$5,$G$5,$E$5,$C23,E$8)</f>
        <v>15093820.503314156</v>
      </c>
      <c r="F23" s="84">
        <f>_xll.DBRW($D$1,$D$5,$B$5,$G$5,$E$5,$C23,F$8)</f>
        <v>-11568808.969568722</v>
      </c>
      <c r="G23" s="91">
        <f>_xll.DBRW($D$1,$D$5,$B$5,$G$5,$E$5,$C23,G$8)</f>
        <v>-43.389603364202088</v>
      </c>
    </row>
    <row r="24" spans="2:7" ht="12.75" customHeight="1" x14ac:dyDescent="0.3">
      <c r="D24" s="2"/>
      <c r="E24" s="2"/>
      <c r="F24" s="2"/>
      <c r="G24" s="2"/>
    </row>
  </sheetData>
  <mergeCells count="2">
    <mergeCell ref="E4:F4"/>
    <mergeCell ref="E5:F5"/>
  </mergeCells>
  <phoneticPr fontId="11" type="noConversion"/>
  <pageMargins left="0.7" right="0.7" top="0.75" bottom="0.75" header="0.3" footer="0.3"/>
  <pageSetup paperSize="9"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J15"/>
  <sheetViews>
    <sheetView workbookViewId="0"/>
  </sheetViews>
  <sheetFormatPr defaultRowHeight="14.4" x14ac:dyDescent="0.3"/>
  <cols>
    <col min="1" max="1" width="17" customWidth="1"/>
  </cols>
  <sheetData>
    <row r="1" spans="1:10" x14ac:dyDescent="0.3">
      <c r="A1" s="1" t="s">
        <v>60</v>
      </c>
      <c r="B1" s="1" t="s">
        <v>61</v>
      </c>
      <c r="D1" s="1" t="s">
        <v>62</v>
      </c>
      <c r="G1" s="1" t="s">
        <v>63</v>
      </c>
      <c r="J1" s="1" t="s">
        <v>73</v>
      </c>
    </row>
    <row r="2" spans="1:10" x14ac:dyDescent="0.3">
      <c r="A2" t="s">
        <v>15</v>
      </c>
      <c r="B2" t="s">
        <v>64</v>
      </c>
      <c r="D2" t="s">
        <v>35</v>
      </c>
      <c r="E2">
        <v>1</v>
      </c>
      <c r="G2" t="s">
        <v>6</v>
      </c>
      <c r="J2" t="s">
        <v>71</v>
      </c>
    </row>
    <row r="3" spans="1:10" x14ac:dyDescent="0.3">
      <c r="A3" t="s">
        <v>65</v>
      </c>
      <c r="B3" t="s">
        <v>66</v>
      </c>
      <c r="D3" t="s">
        <v>16</v>
      </c>
      <c r="E3">
        <v>0</v>
      </c>
      <c r="G3" t="s">
        <v>67</v>
      </c>
      <c r="J3" t="s">
        <v>72</v>
      </c>
    </row>
    <row r="4" spans="1:10" x14ac:dyDescent="0.3">
      <c r="A4" t="s">
        <v>68</v>
      </c>
      <c r="G4" t="s">
        <v>69</v>
      </c>
    </row>
    <row r="5" spans="1:10" x14ac:dyDescent="0.3">
      <c r="A5" t="s">
        <v>54</v>
      </c>
      <c r="H5" t="s">
        <v>70</v>
      </c>
    </row>
    <row r="6" spans="1:10" x14ac:dyDescent="0.3">
      <c r="A6" t="s">
        <v>55</v>
      </c>
    </row>
    <row r="7" spans="1:10" x14ac:dyDescent="0.3">
      <c r="A7" t="s">
        <v>56</v>
      </c>
      <c r="H7" t="s">
        <v>70</v>
      </c>
    </row>
    <row r="8" spans="1:10" x14ac:dyDescent="0.3">
      <c r="A8" t="s">
        <v>57</v>
      </c>
      <c r="H8" t="s">
        <v>70</v>
      </c>
    </row>
    <row r="9" spans="1:10" x14ac:dyDescent="0.3">
      <c r="A9" t="s">
        <v>34</v>
      </c>
      <c r="H9" t="s">
        <v>70</v>
      </c>
    </row>
    <row r="10" spans="1:10" x14ac:dyDescent="0.3">
      <c r="A10" t="s">
        <v>58</v>
      </c>
      <c r="H10" t="s">
        <v>70</v>
      </c>
    </row>
    <row r="11" spans="1:10" x14ac:dyDescent="0.3">
      <c r="H11" t="s">
        <v>70</v>
      </c>
    </row>
    <row r="15" spans="1:10" x14ac:dyDescent="0.3">
      <c r="H15" t="s">
        <v>70</v>
      </c>
    </row>
  </sheetData>
  <phoneticPr fontId="11" type="noConversion"/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O32"/>
  <sheetViews>
    <sheetView topLeftCell="B10" workbookViewId="0"/>
  </sheetViews>
  <sheetFormatPr defaultRowHeight="14.4" x14ac:dyDescent="0.3"/>
  <cols>
    <col min="1" max="1" width="2.6640625" hidden="1" customWidth="1"/>
    <col min="2" max="2" width="27" bestFit="1" customWidth="1"/>
    <col min="3" max="3" width="18.88671875" bestFit="1" customWidth="1"/>
    <col min="15" max="15" width="10" bestFit="1" customWidth="1"/>
  </cols>
  <sheetData>
    <row r="1" spans="1:15" hidden="1" x14ac:dyDescent="0.3">
      <c r="A1" t="s">
        <v>9</v>
      </c>
    </row>
    <row r="2" spans="1:15" hidden="1" x14ac:dyDescent="0.3">
      <c r="A2">
        <f>0</f>
        <v>0</v>
      </c>
      <c r="B2" s="8"/>
      <c r="C2" s="11"/>
      <c r="D2" s="11"/>
      <c r="E2" s="11"/>
      <c r="F2" s="11"/>
      <c r="G2" s="11"/>
      <c r="H2" s="11"/>
      <c r="I2" s="11"/>
      <c r="J2" s="11"/>
      <c r="K2" s="11"/>
      <c r="L2" s="11"/>
      <c r="M2" s="11"/>
      <c r="N2" s="11"/>
      <c r="O2" s="11"/>
    </row>
    <row r="3" spans="1:15" hidden="1" x14ac:dyDescent="0.3">
      <c r="A3">
        <f>1</f>
        <v>1</v>
      </c>
      <c r="B3" s="9"/>
      <c r="C3" s="12"/>
      <c r="D3" s="12"/>
      <c r="E3" s="12"/>
      <c r="F3" s="12"/>
      <c r="G3" s="12"/>
      <c r="H3" s="12"/>
      <c r="I3" s="12"/>
      <c r="J3" s="12"/>
      <c r="K3" s="12"/>
      <c r="L3" s="12"/>
      <c r="M3" s="12"/>
      <c r="N3" s="12"/>
      <c r="O3" s="12"/>
    </row>
    <row r="4" spans="1:15" hidden="1" x14ac:dyDescent="0.3">
      <c r="A4">
        <f>2</f>
        <v>2</v>
      </c>
      <c r="B4" s="9"/>
      <c r="C4" s="12"/>
      <c r="D4" s="12"/>
      <c r="E4" s="12"/>
      <c r="F4" s="12"/>
      <c r="G4" s="12"/>
      <c r="H4" s="12"/>
      <c r="I4" s="12"/>
      <c r="J4" s="12"/>
      <c r="K4" s="12"/>
      <c r="L4" s="12"/>
      <c r="M4" s="12"/>
      <c r="N4" s="12"/>
      <c r="O4" s="12"/>
    </row>
    <row r="5" spans="1:15" hidden="1" x14ac:dyDescent="0.3">
      <c r="A5">
        <f>3</f>
        <v>3</v>
      </c>
      <c r="B5" s="9"/>
      <c r="C5" s="12"/>
      <c r="D5" s="12"/>
      <c r="E5" s="12"/>
      <c r="F5" s="12"/>
      <c r="G5" s="12"/>
      <c r="H5" s="12"/>
      <c r="I5" s="12"/>
      <c r="J5" s="12"/>
      <c r="K5" s="12"/>
      <c r="L5" s="12"/>
      <c r="M5" s="12"/>
      <c r="N5" s="12"/>
      <c r="O5" s="12"/>
    </row>
    <row r="6" spans="1:15" hidden="1" x14ac:dyDescent="0.3">
      <c r="A6" t="s">
        <v>7</v>
      </c>
      <c r="B6" s="9"/>
      <c r="C6" s="12"/>
      <c r="D6" s="12"/>
      <c r="E6" s="12"/>
      <c r="F6" s="12"/>
      <c r="G6" s="12"/>
      <c r="H6" s="12"/>
      <c r="I6" s="12"/>
      <c r="J6" s="12"/>
      <c r="K6" s="12"/>
      <c r="L6" s="12"/>
      <c r="M6" s="12"/>
      <c r="N6" s="12"/>
      <c r="O6" s="12"/>
    </row>
    <row r="7" spans="1:15" hidden="1" x14ac:dyDescent="0.3">
      <c r="A7" t="s">
        <v>8</v>
      </c>
      <c r="C7" s="13"/>
      <c r="D7" s="13"/>
      <c r="E7" s="13"/>
      <c r="F7" s="13"/>
      <c r="G7" s="13"/>
      <c r="H7" s="13"/>
      <c r="I7" s="13"/>
      <c r="J7" s="13"/>
      <c r="K7" s="13"/>
      <c r="L7" s="13"/>
      <c r="M7" s="13"/>
      <c r="N7" s="13"/>
      <c r="O7" s="13"/>
    </row>
    <row r="8" spans="1:15" hidden="1" x14ac:dyDescent="0.3">
      <c r="A8" t="s">
        <v>10</v>
      </c>
    </row>
    <row r="9" spans="1:15" hidden="1" x14ac:dyDescent="0.3">
      <c r="B9" t="str">
        <f>_xll.TM1RPTVIEW("24retail:Income Statement:1", 0, _xll.TM1RPTTITLE("24retail:Currency Calc",$C$12), _xll.TM1RPTTITLE("24retail:Year",$C$13), _xll.TM1RPTTITLE("24retail:Account",$C$11), _xll.TM1RPTTITLE("24retail:Version",$C$14),TM1RPTFMTRNG,TM1RPTFMTIDCOL)</f>
        <v>24retail:Income Statement:1</v>
      </c>
    </row>
    <row r="11" spans="1:15" x14ac:dyDescent="0.3">
      <c r="B11" s="1" t="s">
        <v>0</v>
      </c>
      <c r="C11" t="str">
        <f>_xll.SUBNM("24retail:Account","Default","4999","Caption_Default")</f>
        <v>4999 Gross Revenue</v>
      </c>
    </row>
    <row r="12" spans="1:15" x14ac:dyDescent="0.3">
      <c r="B12" s="1" t="s">
        <v>1</v>
      </c>
      <c r="C12" t="str">
        <f>_xll.SUBNM("24retail:Currency Calc","Default","Local")</f>
        <v>Local</v>
      </c>
    </row>
    <row r="13" spans="1:15" x14ac:dyDescent="0.3">
      <c r="B13" s="1" t="s">
        <v>3</v>
      </c>
      <c r="C13" t="str">
        <f>_xll.SUBNM("24retail:Year","Default","Y2","Caption_Default")</f>
        <v>2015</v>
      </c>
    </row>
    <row r="14" spans="1:15" x14ac:dyDescent="0.3">
      <c r="B14" s="1" t="s">
        <v>33</v>
      </c>
      <c r="C14" t="str">
        <f>_xll.SUBNM("24retail:Version","Current","Version 1","Caption_Default")</f>
        <v>Budget</v>
      </c>
    </row>
    <row r="17" spans="1:15" x14ac:dyDescent="0.3">
      <c r="C17" s="7" t="s">
        <v>37</v>
      </c>
      <c r="D17" s="7" t="s">
        <v>38</v>
      </c>
      <c r="E17" s="7" t="s">
        <v>39</v>
      </c>
      <c r="F17" s="7" t="s">
        <v>40</v>
      </c>
      <c r="G17" s="7" t="s">
        <v>41</v>
      </c>
      <c r="H17" s="7" t="s">
        <v>42</v>
      </c>
      <c r="I17" s="7" t="s">
        <v>43</v>
      </c>
      <c r="J17" s="7" t="s">
        <v>44</v>
      </c>
      <c r="K17" s="7" t="s">
        <v>45</v>
      </c>
      <c r="L17" s="7" t="s">
        <v>46</v>
      </c>
      <c r="M17" s="7" t="s">
        <v>47</v>
      </c>
      <c r="N17" s="7" t="s">
        <v>48</v>
      </c>
      <c r="O17" s="7" t="s">
        <v>3</v>
      </c>
    </row>
    <row r="18" spans="1:15" x14ac:dyDescent="0.3">
      <c r="A18">
        <f>IF(_xll.TM1RPTELISCONSOLIDATED($B$18,$B18),IF(_xll.TM1RPTELLEV($B$18,$B18)&lt;=3,_xll.TM1RPTELLEV($B$18,$B18),"D"),"N")</f>
        <v>0</v>
      </c>
      <c r="B18" s="103" t="str">
        <f>_xll.TM1RPTROW($B$9,"24retail:organization","Workflow")</f>
        <v>Total Company</v>
      </c>
      <c r="C18" s="11">
        <f>_xll.DBRW($B$9,$C$12,$B18,$C$13,C$17,$C$11,$C$14)</f>
        <v>3384891384.7956433</v>
      </c>
      <c r="D18" s="11">
        <f>_xll.DBRW($B$9,$C$12,$B18,$C$13,D$17,$C$11,$C$14)</f>
        <v>18308973.435954761</v>
      </c>
      <c r="E18" s="11">
        <f>_xll.DBRW($B$9,$C$12,$B18,$C$13,E$17,$C$11,$C$14)</f>
        <v>7867028.8762901295</v>
      </c>
      <c r="F18" s="11">
        <f>_xll.DBRW($B$9,$C$12,$B18,$C$13,F$17,$C$11,$C$14)</f>
        <v>7309877.4377338262</v>
      </c>
      <c r="G18" s="11">
        <f>_xll.DBRW($B$9,$C$12,$B18,$C$13,G$17,$C$11,$C$14)</f>
        <v>7334002.6488062385</v>
      </c>
      <c r="H18" s="11">
        <f>_xll.DBRW($B$9,$C$12,$B18,$C$13,H$17,$C$11,$C$14)</f>
        <v>7515455.6639436176</v>
      </c>
      <c r="I18" s="11">
        <f>_xll.DBRW($B$9,$C$12,$B18,$C$13,I$17,$C$11,$C$14)</f>
        <v>8155089.3248336017</v>
      </c>
      <c r="J18" s="11">
        <f>_xll.DBRW($B$9,$C$12,$B18,$C$13,J$17,$C$11,$C$14)</f>
        <v>8470126.1413580384</v>
      </c>
      <c r="K18" s="11">
        <f>_xll.DBRW($B$9,$C$12,$B18,$C$13,K$17,$C$11,$C$14)</f>
        <v>8387725.9586859075</v>
      </c>
      <c r="L18" s="11">
        <f>_xll.DBRW($B$9,$C$12,$B18,$C$13,L$17,$C$11,$C$14)</f>
        <v>9002574.9764205236</v>
      </c>
      <c r="M18" s="11">
        <f>_xll.DBRW($B$9,$C$12,$B18,$C$13,M$17,$C$11,$C$14)</f>
        <v>9691331.3977792915</v>
      </c>
      <c r="N18" s="11">
        <f>_xll.DBRW($B$9,$C$12,$B18,$C$13,N$17,$C$11,$C$14)</f>
        <v>10123684.712446095</v>
      </c>
      <c r="O18" s="11">
        <f>_xll.DBRW($B$9,$C$12,$B18,$C$13,O$17,$C$11,$C$14)</f>
        <v>3487057255.3698945</v>
      </c>
    </row>
    <row r="19" spans="1:15" x14ac:dyDescent="0.3">
      <c r="A19">
        <f>IF(_xll.TM1RPTELISCONSOLIDATED($B$18,$B19),IF(_xll.TM1RPTELLEV($B$18,$B19)&lt;=3,_xll.TM1RPTELLEV($B$18,$B19),"D"),"N")</f>
        <v>1</v>
      </c>
      <c r="B19" s="104" t="s">
        <v>77</v>
      </c>
      <c r="C19" s="12">
        <f>_xll.DBRW($B$9,$C$12,$B19,$C$13,C$17,$C$11,$C$14)</f>
        <v>941091794.08960474</v>
      </c>
      <c r="D19" s="12">
        <f>_xll.DBRW($B$9,$C$12,$B19,$C$13,D$17,$C$11,$C$14)</f>
        <v>3454003.7744526351</v>
      </c>
      <c r="E19" s="12">
        <f>_xll.DBRW($B$9,$C$12,$B19,$C$13,E$17,$C$11,$C$14)</f>
        <v>2160626.3505086964</v>
      </c>
      <c r="F19" s="12">
        <f>_xll.DBRW($B$9,$C$12,$B19,$C$13,F$17,$C$11,$C$14)</f>
        <v>1793672.6957297055</v>
      </c>
      <c r="G19" s="12">
        <f>_xll.DBRW($B$9,$C$12,$B19,$C$13,G$17,$C$11,$C$14)</f>
        <v>1753876.1686364128</v>
      </c>
      <c r="H19" s="12">
        <f>_xll.DBRW($B$9,$C$12,$B19,$C$13,H$17,$C$11,$C$14)</f>
        <v>1852466.076562915</v>
      </c>
      <c r="I19" s="12">
        <f>_xll.DBRW($B$9,$C$12,$B19,$C$13,I$17,$C$11,$C$14)</f>
        <v>2201951.5083104251</v>
      </c>
      <c r="J19" s="12">
        <f>_xll.DBRW($B$9,$C$12,$B19,$C$13,J$17,$C$11,$C$14)</f>
        <v>2195450.5941256629</v>
      </c>
      <c r="K19" s="12">
        <f>_xll.DBRW($B$9,$C$12,$B19,$C$13,K$17,$C$11,$C$14)</f>
        <v>2190324.1153280921</v>
      </c>
      <c r="L19" s="12">
        <f>_xll.DBRW($B$9,$C$12,$B19,$C$13,L$17,$C$11,$C$14)</f>
        <v>2459176.1148422328</v>
      </c>
      <c r="M19" s="12">
        <f>_xll.DBRW($B$9,$C$12,$B19,$C$13,M$17,$C$11,$C$14)</f>
        <v>2529934.5003543878</v>
      </c>
      <c r="N19" s="12">
        <f>_xll.DBRW($B$9,$C$12,$B19,$C$13,N$17,$C$11,$C$14)</f>
        <v>2644559.5028927741</v>
      </c>
      <c r="O19" s="12">
        <f>_xll.DBRW($B$9,$C$12,$B19,$C$13,O$17,$C$11,$C$14)</f>
        <v>966327835.49134862</v>
      </c>
    </row>
    <row r="20" spans="1:15" x14ac:dyDescent="0.3">
      <c r="A20" t="str">
        <f>IF(_xll.TM1RPTELISCONSOLIDATED($B$18,$B20),IF(_xll.TM1RPTELLEV($B$18,$B20)&lt;=3,_xll.TM1RPTELLEV($B$18,$B20),"D"),"N")</f>
        <v>N</v>
      </c>
      <c r="B20" s="10" t="s">
        <v>78</v>
      </c>
      <c r="C20" s="13">
        <f>_xll.DBRW($B$9,$C$12,$B20,$C$13,C$17,$C$11,$C$14)</f>
        <v>471892971.51919198</v>
      </c>
      <c r="D20" s="13">
        <f>_xll.DBRW($B$9,$C$12,$B20,$C$13,D$17,$C$11,$C$14)</f>
        <v>1208461.4717466454</v>
      </c>
      <c r="E20" s="13">
        <f>_xll.DBRW($B$9,$C$12,$B20,$C$13,E$17,$C$11,$C$14)</f>
        <v>990266.40055389213</v>
      </c>
      <c r="F20" s="13">
        <f>_xll.DBRW($B$9,$C$12,$B20,$C$13,F$17,$C$11,$C$14)</f>
        <v>632675.23764922819</v>
      </c>
      <c r="G20" s="13">
        <f>_xll.DBRW($B$9,$C$12,$B20,$C$13,G$17,$C$11,$C$14)</f>
        <v>613378.88976779603</v>
      </c>
      <c r="H20" s="13">
        <f>_xll.DBRW($B$9,$C$12,$B20,$C$13,H$17,$C$11,$C$14)</f>
        <v>666959.56131542393</v>
      </c>
      <c r="I20" s="13">
        <f>_xll.DBRW($B$9,$C$12,$B20,$C$13,I$17,$C$11,$C$14)</f>
        <v>883847.47392571415</v>
      </c>
      <c r="J20" s="13">
        <f>_xll.DBRW($B$9,$C$12,$B20,$C$13,J$17,$C$11,$C$14)</f>
        <v>837005.39825757011</v>
      </c>
      <c r="K20" s="13">
        <f>_xll.DBRW($B$9,$C$12,$B20,$C$13,K$17,$C$11,$C$14)</f>
        <v>855969.86350911716</v>
      </c>
      <c r="L20" s="13">
        <f>_xll.DBRW($B$9,$C$12,$B20,$C$13,L$17,$C$11,$C$14)</f>
        <v>972730.58554619167</v>
      </c>
      <c r="M20" s="13">
        <f>_xll.DBRW($B$9,$C$12,$B20,$C$13,M$17,$C$11,$C$14)</f>
        <v>988909.55998283613</v>
      </c>
      <c r="N20" s="13">
        <f>_xll.DBRW($B$9,$C$12,$B20,$C$13,N$17,$C$11,$C$14)</f>
        <v>1015862.458127249</v>
      </c>
      <c r="O20" s="13">
        <f>_xll.DBRW($B$9,$C$12,$B20,$C$13,O$17,$C$11,$C$14)</f>
        <v>481559038.41957361</v>
      </c>
    </row>
    <row r="21" spans="1:15" x14ac:dyDescent="0.3">
      <c r="A21" t="str">
        <f>IF(_xll.TM1RPTELISCONSOLIDATED($B$18,$B21),IF(_xll.TM1RPTELLEV($B$18,$B21)&lt;=3,_xll.TM1RPTELLEV($B$18,$B21),"D"),"N")</f>
        <v>N</v>
      </c>
      <c r="B21" s="10" t="s">
        <v>79</v>
      </c>
      <c r="C21" s="13">
        <f>_xll.DBRW($B$9,$C$12,$B21,$C$13,C$17,$C$11,$C$14)</f>
        <v>222900007.49633908</v>
      </c>
      <c r="D21" s="13">
        <f>_xll.DBRW($B$9,$C$12,$B21,$C$13,D$17,$C$11,$C$14)</f>
        <v>1521527.4384013363</v>
      </c>
      <c r="E21" s="13">
        <f>_xll.DBRW($B$9,$C$12,$B21,$C$13,E$17,$C$11,$C$14)</f>
        <v>535626.57999949832</v>
      </c>
      <c r="F21" s="13">
        <f>_xll.DBRW($B$9,$C$12,$B21,$C$13,F$17,$C$11,$C$14)</f>
        <v>560469.42322060827</v>
      </c>
      <c r="G21" s="13">
        <f>_xll.DBRW($B$9,$C$12,$B21,$C$13,G$17,$C$11,$C$14)</f>
        <v>558873.67150679568</v>
      </c>
      <c r="H21" s="13">
        <f>_xll.DBRW($B$9,$C$12,$B21,$C$13,H$17,$C$11,$C$14)</f>
        <v>634199.23996248655</v>
      </c>
      <c r="I21" s="13">
        <f>_xll.DBRW($B$9,$C$12,$B21,$C$13,I$17,$C$11,$C$14)</f>
        <v>648021.44634324522</v>
      </c>
      <c r="J21" s="13">
        <f>_xll.DBRW($B$9,$C$12,$B21,$C$13,J$17,$C$11,$C$14)</f>
        <v>650781.13949502108</v>
      </c>
      <c r="K21" s="13">
        <f>_xll.DBRW($B$9,$C$12,$B21,$C$13,K$17,$C$11,$C$14)</f>
        <v>637023.80116939673</v>
      </c>
      <c r="L21" s="13">
        <f>_xll.DBRW($B$9,$C$12,$B21,$C$13,L$17,$C$11,$C$14)</f>
        <v>685541.67758722056</v>
      </c>
      <c r="M21" s="13">
        <f>_xll.DBRW($B$9,$C$12,$B21,$C$13,M$17,$C$11,$C$14)</f>
        <v>659611.1170956773</v>
      </c>
      <c r="N21" s="13">
        <f>_xll.DBRW($B$9,$C$12,$B21,$C$13,N$17,$C$11,$C$14)</f>
        <v>714597.57852271025</v>
      </c>
      <c r="O21" s="13">
        <f>_xll.DBRW($B$9,$C$12,$B21,$C$13,O$17,$C$11,$C$14)</f>
        <v>230706280.60964307</v>
      </c>
    </row>
    <row r="22" spans="1:15" x14ac:dyDescent="0.3">
      <c r="A22" t="str">
        <f>IF(_xll.TM1RPTELISCONSOLIDATED($B$18,$B22),IF(_xll.TM1RPTELLEV($B$18,$B22)&lt;=3,_xll.TM1RPTELLEV($B$18,$B22),"D"),"N")</f>
        <v>N</v>
      </c>
      <c r="B22" s="10" t="s">
        <v>80</v>
      </c>
      <c r="C22" s="13">
        <f>_xll.DBRW($B$9,$C$12,$B22,$C$13,C$17,$C$11,$C$14)</f>
        <v>246298815.07407364</v>
      </c>
      <c r="D22" s="13">
        <f>_xll.DBRW($B$9,$C$12,$B22,$C$13,D$17,$C$11,$C$14)</f>
        <v>724014.86430465349</v>
      </c>
      <c r="E22" s="13">
        <f>_xll.DBRW($B$9,$C$12,$B22,$C$13,E$17,$C$11,$C$14)</f>
        <v>634733.36995530606</v>
      </c>
      <c r="F22" s="13">
        <f>_xll.DBRW($B$9,$C$12,$B22,$C$13,F$17,$C$11,$C$14)</f>
        <v>600528.03485986928</v>
      </c>
      <c r="G22" s="13">
        <f>_xll.DBRW($B$9,$C$12,$B22,$C$13,G$17,$C$11,$C$14)</f>
        <v>581623.60736182088</v>
      </c>
      <c r="H22" s="13">
        <f>_xll.DBRW($B$9,$C$12,$B22,$C$13,H$17,$C$11,$C$14)</f>
        <v>551307.27528500475</v>
      </c>
      <c r="I22" s="13">
        <f>_xll.DBRW($B$9,$C$12,$B22,$C$13,I$17,$C$11,$C$14)</f>
        <v>670082.5880414655</v>
      </c>
      <c r="J22" s="13">
        <f>_xll.DBRW($B$9,$C$12,$B22,$C$13,J$17,$C$11,$C$14)</f>
        <v>707664.05637307186</v>
      </c>
      <c r="K22" s="13">
        <f>_xll.DBRW($B$9,$C$12,$B22,$C$13,K$17,$C$11,$C$14)</f>
        <v>697330.45064957801</v>
      </c>
      <c r="L22" s="13">
        <f>_xll.DBRW($B$9,$C$12,$B22,$C$13,L$17,$C$11,$C$14)</f>
        <v>800903.85170882056</v>
      </c>
      <c r="M22" s="13">
        <f>_xll.DBRW($B$9,$C$12,$B22,$C$13,M$17,$C$11,$C$14)</f>
        <v>881413.8232758746</v>
      </c>
      <c r="N22" s="13">
        <f>_xll.DBRW($B$9,$C$12,$B22,$C$13,N$17,$C$11,$C$14)</f>
        <v>914099.4662428149</v>
      </c>
      <c r="O22" s="13">
        <f>_xll.DBRW($B$9,$C$12,$B22,$C$13,O$17,$C$11,$C$14)</f>
        <v>254062516.46213192</v>
      </c>
    </row>
    <row r="23" spans="1:15" x14ac:dyDescent="0.3">
      <c r="A23">
        <f>IF(_xll.TM1RPTELISCONSOLIDATED($B$18,$B23),IF(_xll.TM1RPTELLEV($B$18,$B23)&lt;=3,_xll.TM1RPTELLEV($B$18,$B23),"D"),"N")</f>
        <v>1</v>
      </c>
      <c r="B23" s="104" t="s">
        <v>81</v>
      </c>
      <c r="C23" s="12">
        <f>_xll.DBRW($B$9,$C$12,$B23,$C$13,C$17,$C$11,$C$14)</f>
        <v>534277302.94950688</v>
      </c>
      <c r="D23" s="12">
        <f>_xll.DBRW($B$9,$C$12,$B23,$C$13,D$17,$C$11,$C$14)</f>
        <v>5653347.2832393106</v>
      </c>
      <c r="E23" s="12">
        <f>_xll.DBRW($B$9,$C$12,$B23,$C$13,E$17,$C$11,$C$14)</f>
        <v>1593228.6287690923</v>
      </c>
      <c r="F23" s="12">
        <f>_xll.DBRW($B$9,$C$12,$B23,$C$13,F$17,$C$11,$C$14)</f>
        <v>1464983.2011765055</v>
      </c>
      <c r="G23" s="12">
        <f>_xll.DBRW($B$9,$C$12,$B23,$C$13,G$17,$C$11,$C$14)</f>
        <v>1496107.5199200797</v>
      </c>
      <c r="H23" s="12">
        <f>_xll.DBRW($B$9,$C$12,$B23,$C$13,H$17,$C$11,$C$14)</f>
        <v>1473410.2812711413</v>
      </c>
      <c r="I23" s="12">
        <f>_xll.DBRW($B$9,$C$12,$B23,$C$13,I$17,$C$11,$C$14)</f>
        <v>1639927.4070614916</v>
      </c>
      <c r="J23" s="12">
        <f>_xll.DBRW($B$9,$C$12,$B23,$C$13,J$17,$C$11,$C$14)</f>
        <v>1709931.6639514389</v>
      </c>
      <c r="K23" s="12">
        <f>_xll.DBRW($B$9,$C$12,$B23,$C$13,K$17,$C$11,$C$14)</f>
        <v>1699492.9093839461</v>
      </c>
      <c r="L23" s="12">
        <f>_xll.DBRW($B$9,$C$12,$B23,$C$13,L$17,$C$11,$C$14)</f>
        <v>1799911.0169832497</v>
      </c>
      <c r="M23" s="12">
        <f>_xll.DBRW($B$9,$C$12,$B23,$C$13,M$17,$C$11,$C$14)</f>
        <v>1999117.7051585242</v>
      </c>
      <c r="N23" s="12">
        <f>_xll.DBRW($B$9,$C$12,$B23,$C$13,N$17,$C$11,$C$14)</f>
        <v>2050992.6317418516</v>
      </c>
      <c r="O23" s="12">
        <f>_xll.DBRW($B$9,$C$12,$B23,$C$13,O$17,$C$11,$C$14)</f>
        <v>556857753.19816327</v>
      </c>
    </row>
    <row r="24" spans="1:15" x14ac:dyDescent="0.3">
      <c r="A24" t="str">
        <f>IF(_xll.TM1RPTELISCONSOLIDATED($B$18,$B24),IF(_xll.TM1RPTELLEV($B$18,$B24)&lt;=3,_xll.TM1RPTELLEV($B$18,$B24),"D"),"N")</f>
        <v>N</v>
      </c>
      <c r="B24" s="10" t="s">
        <v>82</v>
      </c>
      <c r="C24" s="13">
        <f>_xll.DBRW($B$9,$C$12,$B24,$C$13,C$17,$C$11,$C$14)</f>
        <v>317488458.87735254</v>
      </c>
      <c r="D24" s="13">
        <f>_xll.DBRW($B$9,$C$12,$B24,$C$13,D$17,$C$11,$C$14)</f>
        <v>3554241.4961172868</v>
      </c>
      <c r="E24" s="13">
        <f>_xll.DBRW($B$9,$C$12,$B24,$C$13,E$17,$C$11,$C$14)</f>
        <v>722934.43840171443</v>
      </c>
      <c r="F24" s="13">
        <f>_xll.DBRW($B$9,$C$12,$B24,$C$13,F$17,$C$11,$C$14)</f>
        <v>700763.88043374638</v>
      </c>
      <c r="G24" s="13">
        <f>_xll.DBRW($B$9,$C$12,$B24,$C$13,G$17,$C$11,$C$14)</f>
        <v>681643.16618549218</v>
      </c>
      <c r="H24" s="13">
        <f>_xll.DBRW($B$9,$C$12,$B24,$C$13,H$17,$C$11,$C$14)</f>
        <v>670844.58510727016</v>
      </c>
      <c r="I24" s="13">
        <f>_xll.DBRW($B$9,$C$12,$B24,$C$13,I$17,$C$11,$C$14)</f>
        <v>823912.0163706122</v>
      </c>
      <c r="J24" s="13">
        <f>_xll.DBRW($B$9,$C$12,$B24,$C$13,J$17,$C$11,$C$14)</f>
        <v>804614.55837594869</v>
      </c>
      <c r="K24" s="13">
        <f>_xll.DBRW($B$9,$C$12,$B24,$C$13,K$17,$C$11,$C$14)</f>
        <v>807800.79952223704</v>
      </c>
      <c r="L24" s="13">
        <f>_xll.DBRW($B$9,$C$12,$B24,$C$13,L$17,$C$11,$C$14)</f>
        <v>874459.01451286126</v>
      </c>
      <c r="M24" s="13">
        <f>_xll.DBRW($B$9,$C$12,$B24,$C$13,M$17,$C$11,$C$14)</f>
        <v>952226.53302490839</v>
      </c>
      <c r="N24" s="13">
        <f>_xll.DBRW($B$9,$C$12,$B24,$C$13,N$17,$C$11,$C$14)</f>
        <v>1002646.1679856152</v>
      </c>
      <c r="O24" s="13">
        <f>_xll.DBRW($B$9,$C$12,$B24,$C$13,O$17,$C$11,$C$14)</f>
        <v>329084545.53339016</v>
      </c>
    </row>
    <row r="25" spans="1:15" x14ac:dyDescent="0.3">
      <c r="A25" t="str">
        <f>IF(_xll.TM1RPTELISCONSOLIDATED($B$18,$B25),IF(_xll.TM1RPTELLEV($B$18,$B25)&lt;=3,_xll.TM1RPTELLEV($B$18,$B25),"D"),"N")</f>
        <v>N</v>
      </c>
      <c r="B25" s="10" t="s">
        <v>83</v>
      </c>
      <c r="C25" s="13">
        <f>_xll.DBRW($B$9,$C$12,$B25,$C$13,C$17,$C$11,$C$14)</f>
        <v>216788844.07215431</v>
      </c>
      <c r="D25" s="13">
        <f>_xll.DBRW($B$9,$C$12,$B25,$C$13,D$17,$C$11,$C$14)</f>
        <v>2099105.7871220238</v>
      </c>
      <c r="E25" s="13">
        <f>_xll.DBRW($B$9,$C$12,$B25,$C$13,E$17,$C$11,$C$14)</f>
        <v>870294.19036737795</v>
      </c>
      <c r="F25" s="13">
        <f>_xll.DBRW($B$9,$C$12,$B25,$C$13,F$17,$C$11,$C$14)</f>
        <v>764219.32074275916</v>
      </c>
      <c r="G25" s="13">
        <f>_xll.DBRW($B$9,$C$12,$B25,$C$13,G$17,$C$11,$C$14)</f>
        <v>814464.35373458755</v>
      </c>
      <c r="H25" s="13">
        <f>_xll.DBRW($B$9,$C$12,$B25,$C$13,H$17,$C$11,$C$14)</f>
        <v>802565.69616387109</v>
      </c>
      <c r="I25" s="13">
        <f>_xll.DBRW($B$9,$C$12,$B25,$C$13,I$17,$C$11,$C$14)</f>
        <v>816015.39069087931</v>
      </c>
      <c r="J25" s="13">
        <f>_xll.DBRW($B$9,$C$12,$B25,$C$13,J$17,$C$11,$C$14)</f>
        <v>905317.10557549004</v>
      </c>
      <c r="K25" s="13">
        <f>_xll.DBRW($B$9,$C$12,$B25,$C$13,K$17,$C$11,$C$14)</f>
        <v>891692.10986170894</v>
      </c>
      <c r="L25" s="13">
        <f>_xll.DBRW($B$9,$C$12,$B25,$C$13,L$17,$C$11,$C$14)</f>
        <v>925452.00247038854</v>
      </c>
      <c r="M25" s="13">
        <f>_xll.DBRW($B$9,$C$12,$B25,$C$13,M$17,$C$11,$C$14)</f>
        <v>1046891.1721336157</v>
      </c>
      <c r="N25" s="13">
        <f>_xll.DBRW($B$9,$C$12,$B25,$C$13,N$17,$C$11,$C$14)</f>
        <v>1048346.4637562362</v>
      </c>
      <c r="O25" s="13">
        <f>_xll.DBRW($B$9,$C$12,$B25,$C$13,O$17,$C$11,$C$14)</f>
        <v>227773207.66477323</v>
      </c>
    </row>
    <row r="26" spans="1:15" x14ac:dyDescent="0.3">
      <c r="A26">
        <f>IF(_xll.TM1RPTELISCONSOLIDATED($B$18,$B26),IF(_xll.TM1RPTELLEV($B$18,$B26)&lt;=3,_xll.TM1RPTELLEV($B$18,$B26),"D"),"N")</f>
        <v>1</v>
      </c>
      <c r="B26" s="104" t="s">
        <v>84</v>
      </c>
      <c r="C26" s="12">
        <f>_xll.DBRW($B$9,$C$12,$B26,$C$13,C$17,$C$11,$C$14)</f>
        <v>964964386.85838616</v>
      </c>
      <c r="D26" s="12">
        <f>_xll.DBRW($B$9,$C$12,$B26,$C$13,D$17,$C$11,$C$14)</f>
        <v>2841313.6410241858</v>
      </c>
      <c r="E26" s="12">
        <f>_xll.DBRW($B$9,$C$12,$B26,$C$13,E$17,$C$11,$C$14)</f>
        <v>1733662.8097338576</v>
      </c>
      <c r="F26" s="12">
        <f>_xll.DBRW($B$9,$C$12,$B26,$C$13,F$17,$C$11,$C$14)</f>
        <v>1804323.232705049</v>
      </c>
      <c r="G26" s="12">
        <f>_xll.DBRW($B$9,$C$12,$B26,$C$13,G$17,$C$11,$C$14)</f>
        <v>1818874.4713034015</v>
      </c>
      <c r="H26" s="12">
        <f>_xll.DBRW($B$9,$C$12,$B26,$C$13,H$17,$C$11,$C$14)</f>
        <v>1835339.2111342014</v>
      </c>
      <c r="I26" s="12">
        <f>_xll.DBRW($B$9,$C$12,$B26,$C$13,I$17,$C$11,$C$14)</f>
        <v>1896194.5197625863</v>
      </c>
      <c r="J26" s="12">
        <f>_xll.DBRW($B$9,$C$12,$B26,$C$13,J$17,$C$11,$C$14)</f>
        <v>2016312.8098691073</v>
      </c>
      <c r="K26" s="12">
        <f>_xll.DBRW($B$9,$C$12,$B26,$C$13,K$17,$C$11,$C$14)</f>
        <v>1995039.5101109771</v>
      </c>
      <c r="L26" s="12">
        <f>_xll.DBRW($B$9,$C$12,$B26,$C$13,L$17,$C$11,$C$14)</f>
        <v>2141092.5969527531</v>
      </c>
      <c r="M26" s="12">
        <f>_xll.DBRW($B$9,$C$12,$B26,$C$13,M$17,$C$11,$C$14)</f>
        <v>2358232.3187750308</v>
      </c>
      <c r="N26" s="12">
        <f>_xll.DBRW($B$9,$C$12,$B26,$C$13,N$17,$C$11,$C$14)</f>
        <v>2493522.2497871709</v>
      </c>
      <c r="O26" s="12">
        <f>_xll.DBRW($B$9,$C$12,$B26,$C$13,O$17,$C$11,$C$14)</f>
        <v>987898294.22954452</v>
      </c>
    </row>
    <row r="27" spans="1:15" x14ac:dyDescent="0.3">
      <c r="A27" t="str">
        <f>IF(_xll.TM1RPTELISCONSOLIDATED($B$18,$B27),IF(_xll.TM1RPTELLEV($B$18,$B27)&lt;=3,_xll.TM1RPTELLEV($B$18,$B27),"D"),"N")</f>
        <v>N</v>
      </c>
      <c r="B27" s="10" t="s">
        <v>85</v>
      </c>
      <c r="C27" s="13">
        <f>_xll.DBRW($B$9,$C$12,$B27,$C$13,C$17,$C$11,$C$14)</f>
        <v>150275081.96147048</v>
      </c>
      <c r="D27" s="13">
        <f>_xll.DBRW($B$9,$C$12,$B27,$C$13,D$17,$C$11,$C$14)</f>
        <v>988303.40462423034</v>
      </c>
      <c r="E27" s="13">
        <f>_xll.DBRW($B$9,$C$12,$B27,$C$13,E$17,$C$11,$C$14)</f>
        <v>857805.13769136812</v>
      </c>
      <c r="F27" s="13">
        <f>_xll.DBRW($B$9,$C$12,$B27,$C$13,F$17,$C$11,$C$14)</f>
        <v>948350.39208854118</v>
      </c>
      <c r="G27" s="13">
        <f>_xll.DBRW($B$9,$C$12,$B27,$C$13,G$17,$C$11,$C$14)</f>
        <v>962194.50526075508</v>
      </c>
      <c r="H27" s="13">
        <f>_xll.DBRW($B$9,$C$12,$B27,$C$13,H$17,$C$11,$C$14)</f>
        <v>967449.90557143511</v>
      </c>
      <c r="I27" s="13">
        <f>_xll.DBRW($B$9,$C$12,$B27,$C$13,I$17,$C$11,$C$14)</f>
        <v>985664.33004319458</v>
      </c>
      <c r="J27" s="13">
        <f>_xll.DBRW($B$9,$C$12,$B27,$C$13,J$17,$C$11,$C$14)</f>
        <v>1069532.0530254252</v>
      </c>
      <c r="K27" s="13">
        <f>_xll.DBRW($B$9,$C$12,$B27,$C$13,K$17,$C$11,$C$14)</f>
        <v>1036497.9489303904</v>
      </c>
      <c r="L27" s="13">
        <f>_xll.DBRW($B$9,$C$12,$B27,$C$13,L$17,$C$11,$C$14)</f>
        <v>1155434.0632632012</v>
      </c>
      <c r="M27" s="13">
        <f>_xll.DBRW($B$9,$C$12,$B27,$C$13,M$17,$C$11,$C$14)</f>
        <v>1291467.2147400873</v>
      </c>
      <c r="N27" s="13">
        <f>_xll.DBRW($B$9,$C$12,$B27,$C$13,N$17,$C$11,$C$14)</f>
        <v>1453841.4408689905</v>
      </c>
      <c r="O27" s="13">
        <f>_xll.DBRW($B$9,$C$12,$B27,$C$13,O$17,$C$11,$C$14)</f>
        <v>161991622.35757813</v>
      </c>
    </row>
    <row r="28" spans="1:15" x14ac:dyDescent="0.3">
      <c r="A28" t="str">
        <f>IF(_xll.TM1RPTELISCONSOLIDATED($B$18,$B28),IF(_xll.TM1RPTELLEV($B$18,$B28)&lt;=3,_xll.TM1RPTELLEV($B$18,$B28),"D"),"N")</f>
        <v>N</v>
      </c>
      <c r="B28" s="10" t="s">
        <v>86</v>
      </c>
      <c r="C28" s="13">
        <f>_xll.DBRW($B$9,$C$12,$B28,$C$13,C$17,$C$11,$C$14)</f>
        <v>814689304.89691567</v>
      </c>
      <c r="D28" s="13">
        <f>_xll.DBRW($B$9,$C$12,$B28,$C$13,D$17,$C$11,$C$14)</f>
        <v>1853010.2363999553</v>
      </c>
      <c r="E28" s="13">
        <f>_xll.DBRW($B$9,$C$12,$B28,$C$13,E$17,$C$11,$C$14)</f>
        <v>875857.67204248952</v>
      </c>
      <c r="F28" s="13">
        <f>_xll.DBRW($B$9,$C$12,$B28,$C$13,F$17,$C$11,$C$14)</f>
        <v>855972.8406165078</v>
      </c>
      <c r="G28" s="13">
        <f>_xll.DBRW($B$9,$C$12,$B28,$C$13,G$17,$C$11,$C$14)</f>
        <v>856679.96604264656</v>
      </c>
      <c r="H28" s="13">
        <f>_xll.DBRW($B$9,$C$12,$B28,$C$13,H$17,$C$11,$C$14)</f>
        <v>867889.30556276615</v>
      </c>
      <c r="I28" s="13">
        <f>_xll.DBRW($B$9,$C$12,$B28,$C$13,I$17,$C$11,$C$14)</f>
        <v>910530.18971939175</v>
      </c>
      <c r="J28" s="13">
        <f>_xll.DBRW($B$9,$C$12,$B28,$C$13,J$17,$C$11,$C$14)</f>
        <v>946780.75684368226</v>
      </c>
      <c r="K28" s="13">
        <f>_xll.DBRW($B$9,$C$12,$B28,$C$13,K$17,$C$11,$C$14)</f>
        <v>958541.56118058669</v>
      </c>
      <c r="L28" s="13">
        <f>_xll.DBRW($B$9,$C$12,$B28,$C$13,L$17,$C$11,$C$14)</f>
        <v>985658.53368955175</v>
      </c>
      <c r="M28" s="13">
        <f>_xll.DBRW($B$9,$C$12,$B28,$C$13,M$17,$C$11,$C$14)</f>
        <v>1066765.1040349433</v>
      </c>
      <c r="N28" s="13">
        <f>_xll.DBRW($B$9,$C$12,$B28,$C$13,N$17,$C$11,$C$14)</f>
        <v>1039680.8089181803</v>
      </c>
      <c r="O28" s="13">
        <f>_xll.DBRW($B$9,$C$12,$B28,$C$13,O$17,$C$11,$C$14)</f>
        <v>825906671.87196636</v>
      </c>
    </row>
    <row r="29" spans="1:15" x14ac:dyDescent="0.3">
      <c r="A29">
        <f>IF(_xll.TM1RPTELISCONSOLIDATED($B$18,$B29),IF(_xll.TM1RPTELLEV($B$18,$B29)&lt;=3,_xll.TM1RPTELLEV($B$18,$B29),"D"),"N")</f>
        <v>1</v>
      </c>
      <c r="B29" s="104" t="s">
        <v>87</v>
      </c>
      <c r="C29" s="12">
        <f>_xll.DBRW($B$9,$C$12,$B29,$C$13,C$17,$C$11,$C$14)</f>
        <v>944557900.89814496</v>
      </c>
      <c r="D29" s="12">
        <f>_xll.DBRW($B$9,$C$12,$B29,$C$13,D$17,$C$11,$C$14)</f>
        <v>6360308.7372386269</v>
      </c>
      <c r="E29" s="12">
        <f>_xll.DBRW($B$9,$C$12,$B29,$C$13,E$17,$C$11,$C$14)</f>
        <v>2379511.0872784844</v>
      </c>
      <c r="F29" s="12">
        <f>_xll.DBRW($B$9,$C$12,$B29,$C$13,F$17,$C$11,$C$14)</f>
        <v>2246898.3081225678</v>
      </c>
      <c r="G29" s="12">
        <f>_xll.DBRW($B$9,$C$12,$B29,$C$13,G$17,$C$11,$C$14)</f>
        <v>2265144.4889463447</v>
      </c>
      <c r="H29" s="12">
        <f>_xll.DBRW($B$9,$C$12,$B29,$C$13,H$17,$C$11,$C$14)</f>
        <v>2354240.0949753616</v>
      </c>
      <c r="I29" s="12">
        <f>_xll.DBRW($B$9,$C$12,$B29,$C$13,I$17,$C$11,$C$14)</f>
        <v>2417015.8896990991</v>
      </c>
      <c r="J29" s="12">
        <f>_xll.DBRW($B$9,$C$12,$B29,$C$13,J$17,$C$11,$C$14)</f>
        <v>2548431.0734118293</v>
      </c>
      <c r="K29" s="12">
        <f>_xll.DBRW($B$9,$C$12,$B29,$C$13,K$17,$C$11,$C$14)</f>
        <v>2502869.4238628922</v>
      </c>
      <c r="L29" s="12">
        <f>_xll.DBRW($B$9,$C$12,$B29,$C$13,L$17,$C$11,$C$14)</f>
        <v>2602395.2476422875</v>
      </c>
      <c r="M29" s="12">
        <f>_xll.DBRW($B$9,$C$12,$B29,$C$13,M$17,$C$11,$C$14)</f>
        <v>2804046.8734913501</v>
      </c>
      <c r="N29" s="12">
        <f>_xll.DBRW($B$9,$C$12,$B29,$C$13,N$17,$C$11,$C$14)</f>
        <v>2934610.3280243003</v>
      </c>
      <c r="O29" s="12">
        <f>_xll.DBRW($B$9,$C$12,$B29,$C$13,O$17,$C$11,$C$14)</f>
        <v>975973372.45083821</v>
      </c>
    </row>
    <row r="30" spans="1:15" x14ac:dyDescent="0.3">
      <c r="A30" t="str">
        <f>IF(_xll.TM1RPTELISCONSOLIDATED($B$18,$B30),IF(_xll.TM1RPTELLEV($B$18,$B30)&lt;=3,_xll.TM1RPTELLEV($B$18,$B30),"D"),"N")</f>
        <v>N</v>
      </c>
      <c r="B30" s="10" t="s">
        <v>88</v>
      </c>
      <c r="C30" s="13">
        <f>_xll.DBRW($B$9,$C$12,$B30,$C$13,C$17,$C$11,$C$14)</f>
        <v>234894950.25582772</v>
      </c>
      <c r="D30" s="13">
        <f>_xll.DBRW($B$9,$C$12,$B30,$C$13,D$17,$C$11,$C$14)</f>
        <v>2088834.6413664396</v>
      </c>
      <c r="E30" s="13">
        <f>_xll.DBRW($B$9,$C$12,$B30,$C$13,E$17,$C$11,$C$14)</f>
        <v>1020517.2133158587</v>
      </c>
      <c r="F30" s="13">
        <f>_xll.DBRW($B$9,$C$12,$B30,$C$13,F$17,$C$11,$C$14)</f>
        <v>947573.28131428396</v>
      </c>
      <c r="G30" s="13">
        <f>_xll.DBRW($B$9,$C$12,$B30,$C$13,G$17,$C$11,$C$14)</f>
        <v>962963.02616737864</v>
      </c>
      <c r="H30" s="13">
        <f>_xll.DBRW($B$9,$C$12,$B30,$C$13,H$17,$C$11,$C$14)</f>
        <v>1032660.0124985579</v>
      </c>
      <c r="I30" s="13">
        <f>_xll.DBRW($B$9,$C$12,$B30,$C$13,I$17,$C$11,$C$14)</f>
        <v>1072015.9624184258</v>
      </c>
      <c r="J30" s="13">
        <f>_xll.DBRW($B$9,$C$12,$B30,$C$13,J$17,$C$11,$C$14)</f>
        <v>1147366.4783153175</v>
      </c>
      <c r="K30" s="13">
        <f>_xll.DBRW($B$9,$C$12,$B30,$C$13,K$17,$C$11,$C$14)</f>
        <v>1119162.8970504338</v>
      </c>
      <c r="L30" s="13">
        <f>_xll.DBRW($B$9,$C$12,$B30,$C$13,L$17,$C$11,$C$14)</f>
        <v>1203312.7943826164</v>
      </c>
      <c r="M30" s="13">
        <f>_xll.DBRW($B$9,$C$12,$B30,$C$13,M$17,$C$11,$C$14)</f>
        <v>1298799.0730938208</v>
      </c>
      <c r="N30" s="13">
        <f>_xll.DBRW($B$9,$C$12,$B30,$C$13,N$17,$C$11,$C$14)</f>
        <v>1431682.4674216758</v>
      </c>
      <c r="O30" s="13">
        <f>_xll.DBRW($B$9,$C$12,$B30,$C$13,O$17,$C$11,$C$14)</f>
        <v>248219838.10317257</v>
      </c>
    </row>
    <row r="31" spans="1:15" x14ac:dyDescent="0.3">
      <c r="A31" t="str">
        <f>IF(_xll.TM1RPTELISCONSOLIDATED($B$18,$B31),IF(_xll.TM1RPTELLEV($B$18,$B31)&lt;=3,_xll.TM1RPTELLEV($B$18,$B31),"D"),"N")</f>
        <v>N</v>
      </c>
      <c r="B31" s="10" t="s">
        <v>89</v>
      </c>
      <c r="C31" s="13">
        <f>_xll.DBRW($B$9,$C$12,$B31,$C$13,C$17,$C$11,$C$14)</f>
        <v>532973711.27614671</v>
      </c>
      <c r="D31" s="13">
        <f>_xll.DBRW($B$9,$C$12,$B31,$C$13,D$17,$C$11,$C$14)</f>
        <v>2261308.337599501</v>
      </c>
      <c r="E31" s="13">
        <f>_xll.DBRW($B$9,$C$12,$B31,$C$13,E$17,$C$11,$C$14)</f>
        <v>795804.520987225</v>
      </c>
      <c r="F31" s="13">
        <f>_xll.DBRW($B$9,$C$12,$B31,$C$13,F$17,$C$11,$C$14)</f>
        <v>765922.3086997983</v>
      </c>
      <c r="G31" s="13">
        <f>_xll.DBRW($B$9,$C$12,$B31,$C$13,G$17,$C$11,$C$14)</f>
        <v>769238.22304261872</v>
      </c>
      <c r="H31" s="13">
        <f>_xll.DBRW($B$9,$C$12,$B31,$C$13,H$17,$C$11,$C$14)</f>
        <v>780734.78424255003</v>
      </c>
      <c r="I31" s="13">
        <f>_xll.DBRW($B$9,$C$12,$B31,$C$13,I$17,$C$11,$C$14)</f>
        <v>801084.49277549807</v>
      </c>
      <c r="J31" s="13">
        <f>_xll.DBRW($B$9,$C$12,$B31,$C$13,J$17,$C$11,$C$14)</f>
        <v>834691.19676909084</v>
      </c>
      <c r="K31" s="13">
        <f>_xll.DBRW($B$9,$C$12,$B31,$C$13,K$17,$C$11,$C$14)</f>
        <v>830616.67298110994</v>
      </c>
      <c r="L31" s="13">
        <f>_xll.DBRW($B$9,$C$12,$B31,$C$13,L$17,$C$11,$C$14)</f>
        <v>848278.23297628143</v>
      </c>
      <c r="M31" s="13">
        <f>_xll.DBRW($B$9,$C$12,$B31,$C$13,M$17,$C$11,$C$14)</f>
        <v>925879.44074537302</v>
      </c>
      <c r="N31" s="13">
        <f>_xll.DBRW($B$9,$C$12,$B31,$C$13,N$17,$C$11,$C$14)</f>
        <v>918515.73648655682</v>
      </c>
      <c r="O31" s="13">
        <f>_xll.DBRW($B$9,$C$12,$B31,$C$13,O$17,$C$11,$C$14)</f>
        <v>543505785.22345233</v>
      </c>
    </row>
    <row r="32" spans="1:15" x14ac:dyDescent="0.3">
      <c r="A32" t="str">
        <f>IF(_xll.TM1RPTELISCONSOLIDATED($B$18,$B32),IF(_xll.TM1RPTELLEV($B$18,$B32)&lt;=3,_xll.TM1RPTELLEV($B$18,$B32),"D"),"N")</f>
        <v>N</v>
      </c>
      <c r="B32" s="10" t="s">
        <v>90</v>
      </c>
      <c r="C32" s="13">
        <f>_xll.DBRW($B$9,$C$12,$B32,$C$13,C$17,$C$11,$C$14)</f>
        <v>176689239.36617059</v>
      </c>
      <c r="D32" s="13">
        <f>_xll.DBRW($B$9,$C$12,$B32,$C$13,D$17,$C$11,$C$14)</f>
        <v>2010165.7582726865</v>
      </c>
      <c r="E32" s="13">
        <f>_xll.DBRW($B$9,$C$12,$B32,$C$13,E$17,$C$11,$C$14)</f>
        <v>563189.3529754004</v>
      </c>
      <c r="F32" s="13">
        <f>_xll.DBRW($B$9,$C$12,$B32,$C$13,F$17,$C$11,$C$14)</f>
        <v>533402.71810848534</v>
      </c>
      <c r="G32" s="13">
        <f>_xll.DBRW($B$9,$C$12,$B32,$C$13,G$17,$C$11,$C$14)</f>
        <v>532943.23973634723</v>
      </c>
      <c r="H32" s="13">
        <f>_xll.DBRW($B$9,$C$12,$B32,$C$13,H$17,$C$11,$C$14)</f>
        <v>540845.29823425342</v>
      </c>
      <c r="I32" s="13">
        <f>_xll.DBRW($B$9,$C$12,$B32,$C$13,I$17,$C$11,$C$14)</f>
        <v>543915.43450517533</v>
      </c>
      <c r="J32" s="13">
        <f>_xll.DBRW($B$9,$C$12,$B32,$C$13,J$17,$C$11,$C$14)</f>
        <v>566373.39832742105</v>
      </c>
      <c r="K32" s="13">
        <f>_xll.DBRW($B$9,$C$12,$B32,$C$13,K$17,$C$11,$C$14)</f>
        <v>553089.85383134824</v>
      </c>
      <c r="L32" s="13">
        <f>_xll.DBRW($B$9,$C$12,$B32,$C$13,L$17,$C$11,$C$14)</f>
        <v>550804.22028338956</v>
      </c>
      <c r="M32" s="13">
        <f>_xll.DBRW($B$9,$C$12,$B32,$C$13,M$17,$C$11,$C$14)</f>
        <v>579368.35965215636</v>
      </c>
      <c r="N32" s="13">
        <f>_xll.DBRW($B$9,$C$12,$B32,$C$13,N$17,$C$11,$C$14)</f>
        <v>584412.12411606789</v>
      </c>
      <c r="O32" s="13">
        <f>_xll.DBRW($B$9,$C$12,$B32,$C$13,O$17,$C$11,$C$14)</f>
        <v>184247749.12421328</v>
      </c>
    </row>
  </sheetData>
  <phoneticPr fontId="11" type="noConversion"/>
  <pageMargins left="0.75" right="0.75" top="1" bottom="1" header="0.5" footer="0.5"/>
  <pageSetup paperSize="9" orientation="portrait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19</vt:i4>
      </vt:variant>
    </vt:vector>
  </HeadingPairs>
  <TitlesOfParts>
    <vt:vector size="25" baseType="lpstr">
      <vt:lpstr>TgtSet</vt:lpstr>
      <vt:lpstr>TgtByMonth</vt:lpstr>
      <vt:lpstr>TgtByAcct</vt:lpstr>
      <vt:lpstr>PLSummary</vt:lpstr>
      <vt:lpstr>Lookup</vt:lpstr>
      <vt:lpstr>Sheet1</vt:lpstr>
      <vt:lpstr>FcstMethods</vt:lpstr>
      <vt:lpstr>OpExSubsets</vt:lpstr>
      <vt:lpstr>Org</vt:lpstr>
      <vt:lpstr>pFromVersion</vt:lpstr>
      <vt:lpstr>pToVersion</vt:lpstr>
      <vt:lpstr>RowFilter</vt:lpstr>
      <vt:lpstr>SelectYesNo</vt:lpstr>
      <vt:lpstr>Sheet1!TM1RPTDATARNG1</vt:lpstr>
      <vt:lpstr>TgtByAcct!TM1RPTDATARNG1</vt:lpstr>
      <vt:lpstr>TgtSet!TM1RPTDATARNG1</vt:lpstr>
      <vt:lpstr>TgtByMonth!TM1RPTDATARNG3</vt:lpstr>
      <vt:lpstr>Sheet1!TM1RPTFMTIDCOL</vt:lpstr>
      <vt:lpstr>TgtByAcct!TM1RPTFMTIDCOL</vt:lpstr>
      <vt:lpstr>TgtByMonth!TM1RPTFMTIDCOL</vt:lpstr>
      <vt:lpstr>TgtSet!TM1RPTFMTIDCOL</vt:lpstr>
      <vt:lpstr>Sheet1!TM1RPTFMTRNG</vt:lpstr>
      <vt:lpstr>TgtByAcct!TM1RPTFMTRNG</vt:lpstr>
      <vt:lpstr>TgtByMonth!TM1RPTFMTRNG</vt:lpstr>
      <vt:lpstr>TgtSet!TM1RPTFMTRNG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ibmuser</dc:creator>
  <cp:lastModifiedBy>Rebecca Hansen</cp:lastModifiedBy>
  <dcterms:created xsi:type="dcterms:W3CDTF">2012-02-08T22:41:16Z</dcterms:created>
  <dcterms:modified xsi:type="dcterms:W3CDTF">2019-10-01T16:20:12Z</dcterms:modified>
</cp:coreProperties>
</file>