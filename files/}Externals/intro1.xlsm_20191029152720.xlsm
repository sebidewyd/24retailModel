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beccaHansen\Box Sync\Reference Doc\Cafe\24retail\"/>
    </mc:Choice>
  </mc:AlternateContent>
  <xr:revisionPtr revIDLastSave="0" documentId="8_{40BD27E3-0616-4500-93BE-A0793616FD0D}" xr6:coauthVersionLast="45" xr6:coauthVersionMax="45" xr10:uidLastSave="{00000000-0000-0000-0000-000000000000}"/>
  <bookViews>
    <workbookView xWindow="-108" yWindow="-108" windowWidth="25416" windowHeight="15372" firstSheet="1" activeTab="1" xr2:uid="{00000000-000D-0000-FFFF-FFFF00000000}"/>
  </bookViews>
  <sheets>
    <sheet name="Cognos_Office_Connection_Cache" sheetId="9" state="veryHidden" r:id="rId1"/>
    <sheet name="Intro" sheetId="8" r:id="rId2"/>
    <sheet name="Instructions" sheetId="4" state="hidden" r:id="rId3"/>
    <sheet name="Tasks" sheetId="5" r:id="rId4"/>
    <sheet name="Status" sheetId="7" r:id="rId5"/>
    <sheet name="{PL}PickLst" sheetId="6" state="hidden" r:id="rId6"/>
  </sheets>
  <definedNames>
    <definedName name="ID" localSheetId="5" hidden="1">"5b52bb49-eac1-48e8-8f82-6e5bd0ace171"</definedName>
    <definedName name="ID" localSheetId="0" hidden="1">"af855d4b-8ccf-434a-8a46-0d492ed464ca"</definedName>
    <definedName name="ID" localSheetId="2" hidden="1">"1472e76a-5050-41ca-acc9-3d397eef126a"</definedName>
    <definedName name="ID" localSheetId="1" hidden="1">"7a29a3c7-2e5c-4d20-a815-7738f51a93b5"</definedName>
    <definedName name="ID" localSheetId="4" hidden="1">"e4cc8426-cb9d-493d-896c-53d0f984bb6b"</definedName>
    <definedName name="ID" localSheetId="3" hidden="1">"885a7e0c-50ad-4243-bc51-7cf95382ace6"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7" l="1"/>
  <c r="F23" i="5"/>
  <c r="F15" i="5"/>
  <c r="F7" i="5"/>
  <c r="D23" i="7"/>
  <c r="F22" i="5"/>
  <c r="F14" i="5"/>
  <c r="F6" i="5"/>
  <c r="D22" i="7"/>
  <c r="F21" i="5"/>
  <c r="F13" i="5"/>
  <c r="G2" i="5"/>
  <c r="F19" i="5"/>
  <c r="J12" i="7"/>
  <c r="F20" i="5"/>
  <c r="F12" i="5"/>
  <c r="F2" i="5"/>
  <c r="K10" i="7"/>
  <c r="F11" i="5"/>
  <c r="F16" i="5"/>
  <c r="J10" i="7"/>
  <c r="F18" i="5"/>
  <c r="F10" i="5"/>
  <c r="J15" i="7"/>
  <c r="J17" i="7"/>
  <c r="I10" i="7"/>
  <c r="F17" i="5"/>
  <c r="F9" i="5"/>
  <c r="F8" i="5"/>
  <c r="J16" i="7"/>
  <c r="J18" i="7"/>
  <c r="J14" i="7"/>
  <c r="I17" i="7"/>
  <c r="I15" i="7"/>
  <c r="I18" i="7"/>
  <c r="I14" i="7"/>
  <c r="I16" i="7"/>
  <c r="K16" i="7" l="1"/>
  <c r="L16" i="7" s="1"/>
  <c r="K15" i="7"/>
  <c r="L15" i="7" s="1"/>
  <c r="K17" i="7"/>
  <c r="L17" i="7" s="1"/>
  <c r="K14" i="7"/>
  <c r="L14" i="7" s="1"/>
  <c r="K18" i="7"/>
  <c r="L18" i="7" s="1"/>
  <c r="I13" i="7"/>
  <c r="F1" i="5"/>
  <c r="J13" i="7"/>
  <c r="F3" i="5"/>
  <c r="B7" i="7"/>
  <c r="L9" i="5"/>
  <c r="H13" i="5"/>
  <c r="K16" i="5"/>
  <c r="C20" i="5"/>
  <c r="J23" i="5"/>
  <c r="J6" i="5"/>
  <c r="B10" i="5"/>
  <c r="C11" i="5"/>
  <c r="H12" i="5"/>
  <c r="I13" i="5"/>
  <c r="J14" i="5"/>
  <c r="K15" i="5"/>
  <c r="L16" i="5"/>
  <c r="B18" i="5"/>
  <c r="C19" i="5"/>
  <c r="H20" i="5"/>
  <c r="I21" i="5"/>
  <c r="J22" i="5"/>
  <c r="K23" i="5"/>
  <c r="K6" i="5"/>
  <c r="L7" i="5"/>
  <c r="B9" i="5"/>
  <c r="C10" i="5"/>
  <c r="H11" i="5"/>
  <c r="I12" i="5"/>
  <c r="J13" i="5"/>
  <c r="K14" i="5"/>
  <c r="L15" i="5"/>
  <c r="B17" i="5"/>
  <c r="C18" i="5"/>
  <c r="H19" i="5"/>
  <c r="I20" i="5"/>
  <c r="J21" i="5"/>
  <c r="K22" i="5"/>
  <c r="L23" i="5"/>
  <c r="J7" i="5"/>
  <c r="C12" i="5"/>
  <c r="L17" i="5"/>
  <c r="I22" i="5"/>
  <c r="L8" i="5"/>
  <c r="B8" i="5"/>
  <c r="I11" i="5"/>
  <c r="K13" i="5"/>
  <c r="B16" i="5"/>
  <c r="C17" i="5"/>
  <c r="H18" i="5"/>
  <c r="I19" i="5"/>
  <c r="J20" i="5"/>
  <c r="K21" i="5"/>
  <c r="L22" i="5"/>
  <c r="C8" i="5"/>
  <c r="H9" i="5"/>
  <c r="I10" i="5"/>
  <c r="J11" i="5"/>
  <c r="K12" i="5"/>
  <c r="L13" i="5"/>
  <c r="B15" i="5"/>
  <c r="C16" i="5"/>
  <c r="H17" i="5"/>
  <c r="I18" i="5"/>
  <c r="J19" i="5"/>
  <c r="K20" i="5"/>
  <c r="L21" i="5"/>
  <c r="B23" i="5"/>
  <c r="B7" i="5"/>
  <c r="B6" i="5"/>
  <c r="C7" i="5"/>
  <c r="H8" i="5"/>
  <c r="I9" i="5"/>
  <c r="J10" i="5"/>
  <c r="K11" i="5"/>
  <c r="L12" i="5"/>
  <c r="B14" i="5"/>
  <c r="C15" i="5"/>
  <c r="H16" i="5"/>
  <c r="I17" i="5"/>
  <c r="J18" i="5"/>
  <c r="K19" i="5"/>
  <c r="L20" i="5"/>
  <c r="B22" i="5"/>
  <c r="C23" i="5"/>
  <c r="K8" i="5"/>
  <c r="K7" i="5"/>
  <c r="L6" i="5"/>
  <c r="C9" i="5"/>
  <c r="H10" i="5"/>
  <c r="J12" i="5"/>
  <c r="L14" i="5"/>
  <c r="C6" i="5"/>
  <c r="H7" i="5"/>
  <c r="I8" i="5"/>
  <c r="J9" i="5"/>
  <c r="K10" i="5"/>
  <c r="L11" i="5"/>
  <c r="B13" i="5"/>
  <c r="C14" i="5"/>
  <c r="H15" i="5"/>
  <c r="I16" i="5"/>
  <c r="J17" i="5"/>
  <c r="K18" i="5"/>
  <c r="L19" i="5"/>
  <c r="B21" i="5"/>
  <c r="C22" i="5"/>
  <c r="H23" i="5"/>
  <c r="I6" i="5"/>
  <c r="B11" i="5"/>
  <c r="I14" i="5"/>
  <c r="J15" i="5"/>
  <c r="B19" i="5"/>
  <c r="H21" i="5"/>
  <c r="H6" i="5"/>
  <c r="I7" i="5"/>
  <c r="J8" i="5"/>
  <c r="K9" i="5"/>
  <c r="L10" i="5"/>
  <c r="B12" i="5"/>
  <c r="C13" i="5"/>
  <c r="H14" i="5"/>
  <c r="I15" i="5"/>
  <c r="J16" i="5"/>
  <c r="K17" i="5"/>
  <c r="L18" i="5"/>
  <c r="B20" i="5"/>
  <c r="C21" i="5"/>
  <c r="H22" i="5"/>
  <c r="I23" i="5"/>
  <c r="I20" i="7" l="1"/>
</calcChain>
</file>

<file path=xl/sharedStrings.xml><?xml version="1.0" encoding="utf-8"?>
<sst xmlns="http://schemas.openxmlformats.org/spreadsheetml/2006/main" count="56" uniqueCount="45">
  <si>
    <t>CUBE:</t>
  </si>
  <si>
    <t>organization</t>
  </si>
  <si>
    <t>Days Left</t>
  </si>
  <si>
    <t>Overdue</t>
  </si>
  <si>
    <t>Task</t>
  </si>
  <si>
    <t>Status</t>
  </si>
  <si>
    <t>Due Date</t>
  </si>
  <si>
    <t>Commentary</t>
  </si>
  <si>
    <t>All Tasks</t>
  </si>
  <si>
    <t>1</t>
  </si>
  <si>
    <t>2</t>
  </si>
  <si>
    <t>3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</si>
  <si>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</si>
  <si>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</si>
  <si>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</si>
  <si>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</si>
  <si>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</si>
  <si>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</si>
  <si>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</si>
  <si>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</si>
  <si>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</si>
  <si>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</si>
  <si>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</si>
  <si>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</si>
  <si>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</si>
  <si>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</si>
  <si>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Local</t>
  </si>
  <si>
    <t>y2</t>
  </si>
  <si>
    <t>Year</t>
  </si>
  <si>
    <t>Target</t>
  </si>
  <si>
    <t>Variance</t>
  </si>
  <si>
    <t>Tasks Completed</t>
  </si>
  <si>
    <t>Gross Margin</t>
  </si>
  <si>
    <t>6099 PAYROLL</t>
  </si>
  <si>
    <t>6499 MARKETING</t>
  </si>
  <si>
    <t>6599 DEPRECIATION</t>
  </si>
  <si>
    <t>Net Profit</t>
  </si>
  <si>
    <t>Complete</t>
  </si>
  <si>
    <t>Not Started</t>
  </si>
  <si>
    <t>Launch</t>
  </si>
  <si>
    <t>Task Status</t>
  </si>
  <si>
    <t>Metrics Status</t>
  </si>
  <si>
    <t># Incomplete Metrics</t>
  </si>
  <si>
    <t>Tasks Remaining</t>
  </si>
  <si>
    <t>24retail:incomeStatement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</si>
</sst>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rgb="FF3F3F3F"/>
      <name val="Arial"/>
      <family val="2"/>
    </font>
    <font>
      <b/>
      <sz val="14"/>
      <color theme="0"/>
      <name val="Arial"/>
      <family val="2"/>
    </font>
    <font>
      <b/>
      <sz val="9"/>
      <color theme="1" tint="0.499984740745262"/>
      <name val="Arial"/>
      <family val="2"/>
    </font>
    <font>
      <b/>
      <sz val="12"/>
      <color theme="1" tint="0.499984740745262"/>
      <name val="Arial"/>
      <family val="2"/>
    </font>
    <font>
      <b/>
      <sz val="14"/>
      <color rgb="FFFF8243"/>
      <name val="Arial"/>
      <family val="2"/>
    </font>
    <font>
      <b/>
      <sz val="12"/>
      <color theme="1" tint="0.499984740745262"/>
      <name val="Calibri"/>
      <family val="2"/>
      <scheme val="minor"/>
    </font>
    <font>
      <sz val="8"/>
      <color rgb="FF8BC43F"/>
      <name val="Arial"/>
      <family val="2"/>
    </font>
    <font>
      <sz val="8"/>
      <color rgb="FFFF8243"/>
      <name val="Arial"/>
      <family val="2"/>
    </font>
    <font>
      <sz val="8"/>
      <color theme="1"/>
      <name val="Arial"/>
      <family val="2"/>
    </font>
    <font>
      <sz val="9"/>
      <color theme="0"/>
      <name val="Calibri"/>
      <family val="2"/>
      <scheme val="minor"/>
    </font>
    <font>
      <sz val="8"/>
      <color theme="0"/>
      <name val="Arial"/>
      <family val="2"/>
    </font>
    <font>
      <b/>
      <sz val="9"/>
      <color theme="0" tint="-0.499984740745262"/>
      <name val="Arial"/>
      <family val="2"/>
    </font>
    <font>
      <b/>
      <sz val="24"/>
      <color rgb="FF8BC43F"/>
      <name val="Arial"/>
      <family val="2"/>
    </font>
    <font>
      <b/>
      <sz val="24"/>
      <color theme="1" tint="0.499984740745262"/>
      <name val="Arial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0" tint="-0.499984740745262"/>
      <name val="Arial"/>
      <family val="2"/>
    </font>
    <font>
      <b/>
      <sz val="14"/>
      <color rgb="FF3F3F3F"/>
      <name val="Arial"/>
      <family val="2"/>
    </font>
    <font>
      <b/>
      <sz val="14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/>
      <top style="thick">
        <color rgb="FF608DAC"/>
      </top>
      <bottom/>
      <diagonal/>
    </border>
    <border>
      <left/>
      <right/>
      <top/>
      <bottom style="thick">
        <color rgb="FF608DAC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0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4" fillId="3" borderId="0" applyNumberFormat="0" applyBorder="0" applyAlignment="0" applyProtection="0"/>
    <xf numFmtId="0" fontId="1" fillId="4" borderId="0" applyNumberFormat="0" applyBorder="0" applyAlignment="0" applyProtection="0"/>
    <xf numFmtId="0" fontId="32" fillId="0" borderId="9" applyNumberFormat="0" applyFill="0" applyProtection="0">
      <alignment horizontal="center" vertical="center"/>
    </xf>
    <xf numFmtId="3" fontId="33" fillId="0" borderId="10" applyFont="0" applyFill="0" applyAlignment="0" applyProtection="0"/>
    <xf numFmtId="3" fontId="33" fillId="0" borderId="10" applyFont="0" applyFill="0" applyAlignment="0" applyProtection="0"/>
    <xf numFmtId="3" fontId="33" fillId="0" borderId="10" applyFont="0" applyFill="0" applyAlignment="0" applyProtection="0"/>
    <xf numFmtId="3" fontId="33" fillId="0" borderId="10" applyFont="0" applyFill="0" applyAlignment="0" applyProtection="0"/>
    <xf numFmtId="3" fontId="33" fillId="0" borderId="10" applyFont="0" applyFill="0" applyAlignment="0" applyProtection="0"/>
    <xf numFmtId="3" fontId="33" fillId="0" borderId="10" applyFont="0" applyFill="0" applyAlignment="0" applyProtection="0"/>
    <xf numFmtId="3" fontId="33" fillId="0" borderId="10" applyFont="0" applyFill="0" applyAlignment="0" applyProtection="0"/>
    <xf numFmtId="3" fontId="33" fillId="0" borderId="10" applyFont="0" applyFill="0" applyAlignment="0" applyProtection="0"/>
    <xf numFmtId="3" fontId="32" fillId="0" borderId="9" applyNumberFormat="0" applyFill="0" applyAlignment="0" applyProtection="0"/>
    <xf numFmtId="0" fontId="32" fillId="0" borderId="9" applyNumberFormat="0" applyFill="0" applyAlignment="0" applyProtection="0"/>
    <xf numFmtId="3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0" fontId="32" fillId="0" borderId="9" applyNumberFormat="0" applyFill="0" applyAlignment="0" applyProtection="0"/>
    <xf numFmtId="3" fontId="33" fillId="0" borderId="0" applyNumberFormat="0" applyBorder="0" applyAlignment="0" applyProtection="0"/>
    <xf numFmtId="3" fontId="33" fillId="0" borderId="0" applyNumberFormat="0" applyBorder="0" applyAlignment="0" applyProtection="0"/>
    <xf numFmtId="3" fontId="33" fillId="0" borderId="0" applyNumberFormat="0" applyBorder="0" applyAlignment="0" applyProtection="0"/>
    <xf numFmtId="3" fontId="33" fillId="0" borderId="0" applyNumberFormat="0" applyBorder="0" applyAlignment="0" applyProtection="0"/>
    <xf numFmtId="3" fontId="33" fillId="0" borderId="0" applyNumberFormat="0" applyBorder="0" applyAlignment="0" applyProtection="0"/>
    <xf numFmtId="3" fontId="33" fillId="0" borderId="10" applyNumberFormat="0" applyBorder="0" applyAlignment="0" applyProtection="0"/>
    <xf numFmtId="3" fontId="33" fillId="0" borderId="10" applyNumberFormat="0" applyBorder="0" applyAlignment="0" applyProtection="0"/>
    <xf numFmtId="3" fontId="33" fillId="0" borderId="10" applyNumberFormat="0" applyBorder="0" applyAlignment="0" applyProtection="0"/>
    <xf numFmtId="0" fontId="33" fillId="0" borderId="10" applyNumberFormat="0" applyFill="0" applyAlignment="0" applyProtection="0"/>
    <xf numFmtId="0" fontId="33" fillId="0" borderId="10" applyNumberFormat="0" applyFill="0" applyAlignment="0" applyProtection="0"/>
    <xf numFmtId="0" fontId="33" fillId="0" borderId="10">
      <alignment horizontal="right" vertical="center"/>
    </xf>
    <xf numFmtId="3" fontId="33" fillId="8" borderId="10">
      <alignment horizontal="center" vertical="center"/>
    </xf>
    <xf numFmtId="0" fontId="33" fillId="8" borderId="10">
      <alignment horizontal="right" vertical="center"/>
    </xf>
    <xf numFmtId="0" fontId="32" fillId="0" borderId="11">
      <alignment horizontal="left" vertical="center"/>
    </xf>
    <xf numFmtId="0" fontId="32" fillId="0" borderId="12">
      <alignment horizontal="center" vertical="center"/>
    </xf>
    <xf numFmtId="0" fontId="34" fillId="0" borderId="13">
      <alignment horizontal="center" vertical="center"/>
    </xf>
    <xf numFmtId="0" fontId="33" fillId="9" borderId="10"/>
    <xf numFmtId="3" fontId="35" fillId="0" borderId="10"/>
    <xf numFmtId="3" fontId="36" fillId="0" borderId="10"/>
    <xf numFmtId="0" fontId="32" fillId="0" borderId="12">
      <alignment horizontal="left" vertical="top"/>
    </xf>
    <xf numFmtId="0" fontId="37" fillId="0" borderId="10"/>
    <xf numFmtId="0" fontId="32" fillId="0" borderId="12">
      <alignment horizontal="left" vertical="center"/>
    </xf>
    <xf numFmtId="0" fontId="33" fillId="8" borderId="14"/>
    <xf numFmtId="3" fontId="33" fillId="0" borderId="10">
      <alignment horizontal="right" vertical="center"/>
    </xf>
    <xf numFmtId="0" fontId="32" fillId="0" borderId="12">
      <alignment horizontal="right" vertical="center"/>
    </xf>
    <xf numFmtId="0" fontId="33" fillId="0" borderId="13">
      <alignment horizontal="center" vertical="center"/>
    </xf>
    <xf numFmtId="3" fontId="33" fillId="0" borderId="10"/>
    <xf numFmtId="3" fontId="33" fillId="0" borderId="10"/>
    <xf numFmtId="0" fontId="33" fillId="0" borderId="13">
      <alignment horizontal="center" vertical="center" wrapText="1"/>
    </xf>
    <xf numFmtId="0" fontId="38" fillId="0" borderId="13">
      <alignment horizontal="left" vertical="center" indent="1"/>
    </xf>
    <xf numFmtId="0" fontId="39" fillId="0" borderId="10"/>
    <xf numFmtId="0" fontId="32" fillId="0" borderId="11">
      <alignment horizontal="left" vertical="center"/>
    </xf>
    <xf numFmtId="3" fontId="33" fillId="0" borderId="10">
      <alignment horizontal="center" vertical="center"/>
    </xf>
    <xf numFmtId="0" fontId="32" fillId="0" borderId="12">
      <alignment horizontal="center" vertical="center"/>
    </xf>
    <xf numFmtId="0" fontId="32" fillId="0" borderId="12">
      <alignment horizontal="center" vertical="center"/>
    </xf>
    <xf numFmtId="0" fontId="32" fillId="0" borderId="11">
      <alignment horizontal="left" vertical="center"/>
    </xf>
    <xf numFmtId="0" fontId="32" fillId="0" borderId="11">
      <alignment horizontal="left" vertical="center"/>
    </xf>
    <xf numFmtId="0" fontId="40" fillId="0" borderId="10"/>
  </cellStyleXfs>
  <cellXfs count="69">
    <xf numFmtId="0" fontId="0" fillId="0" borderId="0" xfId="0"/>
    <xf numFmtId="0" fontId="0" fillId="0" borderId="0" xfId="0" applyFill="1" applyBorder="1"/>
    <xf numFmtId="0" fontId="3" fillId="0" borderId="0" xfId="0" applyFont="1"/>
    <xf numFmtId="0" fontId="5" fillId="0" borderId="0" xfId="0" applyFont="1"/>
    <xf numFmtId="0" fontId="0" fillId="0" borderId="0" xfId="0" quotePrefix="1"/>
    <xf numFmtId="0" fontId="5" fillId="0" borderId="0" xfId="0" applyFont="1" applyBorder="1"/>
    <xf numFmtId="0" fontId="0" fillId="5" borderId="0" xfId="0" applyFill="1"/>
    <xf numFmtId="0" fontId="6" fillId="5" borderId="0" xfId="3" applyFont="1" applyFill="1" applyBorder="1" applyAlignment="1">
      <alignment horizontal="center" vertical="center"/>
    </xf>
    <xf numFmtId="0" fontId="7" fillId="5" borderId="0" xfId="3" applyFont="1" applyFill="1" applyBorder="1" applyAlignment="1">
      <alignment horizontal="left" vertical="center"/>
    </xf>
    <xf numFmtId="0" fontId="0" fillId="5" borderId="0" xfId="0" applyFill="1" applyAlignment="1"/>
    <xf numFmtId="0" fontId="0" fillId="5" borderId="0" xfId="0" applyFill="1" applyBorder="1"/>
    <xf numFmtId="0" fontId="12" fillId="0" borderId="0" xfId="3" applyFont="1" applyFill="1" applyBorder="1" applyAlignment="1">
      <alignment horizontal="left" vertical="center"/>
    </xf>
    <xf numFmtId="164" fontId="13" fillId="0" borderId="0" xfId="1" applyNumberFormat="1" applyFont="1" applyFill="1" applyBorder="1"/>
    <xf numFmtId="0" fontId="11" fillId="0" borderId="0" xfId="3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/>
    </xf>
    <xf numFmtId="0" fontId="9" fillId="6" borderId="0" xfId="0" applyFont="1" applyFill="1" applyBorder="1" applyAlignment="1">
      <alignment horizontal="center"/>
    </xf>
    <xf numFmtId="0" fontId="9" fillId="6" borderId="0" xfId="4" applyFont="1" applyFill="1" applyBorder="1" applyAlignment="1">
      <alignment horizontal="left" indent="1"/>
    </xf>
    <xf numFmtId="14" fontId="13" fillId="6" borderId="2" xfId="2" applyNumberFormat="1" applyFont="1" applyFill="1" applyBorder="1" applyAlignment="1">
      <alignment horizontal="right"/>
    </xf>
    <xf numFmtId="0" fontId="10" fillId="6" borderId="0" xfId="4" applyFont="1" applyFill="1" applyBorder="1" applyAlignment="1">
      <alignment horizontal="left" indent="1"/>
    </xf>
    <xf numFmtId="0" fontId="10" fillId="5" borderId="0" xfId="4" applyFont="1" applyFill="1" applyBorder="1" applyAlignment="1">
      <alignment horizontal="left" indent="3"/>
    </xf>
    <xf numFmtId="0" fontId="10" fillId="0" borderId="0" xfId="0" applyFont="1"/>
    <xf numFmtId="0" fontId="14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6" fillId="0" borderId="0" xfId="3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4" fontId="13" fillId="0" borderId="2" xfId="2" applyNumberFormat="1" applyFont="1" applyFill="1" applyBorder="1" applyAlignment="1">
      <alignment horizontal="center" vertical="center"/>
    </xf>
    <xf numFmtId="0" fontId="15" fillId="0" borderId="0" xfId="4" applyFont="1" applyFill="1" applyBorder="1" applyAlignment="1">
      <alignment horizontal="left" vertical="center" indent="3"/>
    </xf>
    <xf numFmtId="0" fontId="0" fillId="6" borderId="0" xfId="0" applyFill="1" applyBorder="1"/>
    <xf numFmtId="0" fontId="0" fillId="6" borderId="0" xfId="0" applyFill="1"/>
    <xf numFmtId="0" fontId="18" fillId="6" borderId="0" xfId="0" applyFont="1" applyFill="1" applyBorder="1"/>
    <xf numFmtId="0" fontId="17" fillId="0" borderId="0" xfId="0" applyFont="1" applyFill="1" applyBorder="1" applyAlignment="1">
      <alignment horizontal="center"/>
    </xf>
    <xf numFmtId="0" fontId="22" fillId="0" borderId="0" xfId="0" applyFont="1" applyBorder="1"/>
    <xf numFmtId="0" fontId="23" fillId="0" borderId="0" xfId="0" applyFont="1" applyFill="1" applyBorder="1" applyAlignment="1">
      <alignment horizontal="center"/>
    </xf>
    <xf numFmtId="0" fontId="16" fillId="0" borderId="0" xfId="0" applyFont="1" applyFill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21" fillId="0" borderId="0" xfId="0" applyFont="1" applyFill="1"/>
    <xf numFmtId="164" fontId="10" fillId="0" borderId="4" xfId="1" applyNumberFormat="1" applyFont="1" applyFill="1" applyBorder="1"/>
    <xf numFmtId="164" fontId="9" fillId="0" borderId="5" xfId="1" applyNumberFormat="1" applyFont="1" applyFill="1" applyBorder="1"/>
    <xf numFmtId="164" fontId="10" fillId="0" borderId="6" xfId="1" applyNumberFormat="1" applyFont="1" applyFill="1" applyBorder="1"/>
    <xf numFmtId="14" fontId="13" fillId="6" borderId="3" xfId="2" applyNumberFormat="1" applyFont="1" applyFill="1" applyBorder="1" applyAlignment="1">
      <alignment horizontal="right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9" fillId="7" borderId="7" xfId="4" applyFont="1" applyFill="1" applyBorder="1"/>
    <xf numFmtId="0" fontId="10" fillId="7" borderId="7" xfId="4" applyFont="1" applyFill="1" applyBorder="1"/>
    <xf numFmtId="0" fontId="9" fillId="7" borderId="7" xfId="0" applyFont="1" applyFill="1" applyBorder="1" applyAlignment="1">
      <alignment horizontal="center"/>
    </xf>
    <xf numFmtId="14" fontId="13" fillId="7" borderId="7" xfId="2" applyNumberFormat="1" applyFont="1" applyFill="1" applyBorder="1" applyAlignment="1">
      <alignment horizontal="right"/>
    </xf>
    <xf numFmtId="0" fontId="11" fillId="0" borderId="8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14" fillId="0" borderId="0" xfId="0" applyFont="1" applyFill="1" applyAlignment="1"/>
    <xf numFmtId="0" fontId="10" fillId="0" borderId="0" xfId="0" applyFont="1" applyBorder="1" applyAlignment="1">
      <alignment horizontal="center" vertical="center"/>
    </xf>
    <xf numFmtId="0" fontId="10" fillId="6" borderId="0" xfId="0" applyFont="1" applyFill="1" applyBorder="1" applyAlignment="1">
      <alignment horizontal="center"/>
    </xf>
    <xf numFmtId="43" fontId="10" fillId="6" borderId="0" xfId="1" applyFont="1" applyFill="1" applyBorder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24" fillId="6" borderId="0" xfId="3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30" fillId="6" borderId="0" xfId="1" applyNumberFormat="1" applyFont="1" applyFill="1" applyBorder="1" applyAlignment="1">
      <alignment horizontal="center" vertical="center"/>
    </xf>
    <xf numFmtId="0" fontId="31" fillId="6" borderId="0" xfId="0" applyNumberFormat="1" applyFont="1" applyFill="1" applyAlignment="1"/>
    <xf numFmtId="49" fontId="29" fillId="7" borderId="0" xfId="0" applyNumberFormat="1" applyFont="1" applyFill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5" fillId="6" borderId="0" xfId="4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4" fillId="6" borderId="0" xfId="0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24" fillId="6" borderId="0" xfId="0" applyFont="1" applyFill="1" applyAlignment="1">
      <alignment horizontal="center"/>
    </xf>
    <xf numFmtId="49" fontId="16" fillId="0" borderId="0" xfId="0" applyNumberFormat="1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/>
    </xf>
  </cellXfs>
  <cellStyles count="60">
    <cellStyle name="40% - Accent1" xfId="4" builtinId="31"/>
    <cellStyle name="Accent1" xfId="3" builtinId="29"/>
    <cellStyle name="AF Column - IBM Cognos" xfId="5" xr:uid="{7F7D0B0D-EDBD-4DE7-8EE1-9CFF638E4CC7}"/>
    <cellStyle name="AF Data - IBM Cognos" xfId="6" xr:uid="{8D4D213A-9833-4EA8-97C4-7E4A452A407A}"/>
    <cellStyle name="AF Data 0 - IBM Cognos" xfId="7" xr:uid="{36641F47-ECA8-4F11-AB26-CAE1C6B57D11}"/>
    <cellStyle name="AF Data 1 - IBM Cognos" xfId="8" xr:uid="{0FCEAC9B-8B78-492F-9D0D-4F19EF12911B}"/>
    <cellStyle name="AF Data 2 - IBM Cognos" xfId="9" xr:uid="{FCC99A54-1A4E-4922-B3EE-AEB6A8CBD734}"/>
    <cellStyle name="AF Data 3 - IBM Cognos" xfId="10" xr:uid="{747FE8FF-DE95-48B3-9BCC-EC75886816A5}"/>
    <cellStyle name="AF Data 4 - IBM Cognos" xfId="11" xr:uid="{8468E16F-9AE4-4853-B603-A100903DC1E6}"/>
    <cellStyle name="AF Data 5 - IBM Cognos" xfId="12" xr:uid="{9F7CE005-703E-4E25-A2DA-5FCEA9A6AAB9}"/>
    <cellStyle name="AF Data Leaf - IBM Cognos" xfId="13" xr:uid="{5610C83B-3790-47BE-8212-480A42577495}"/>
    <cellStyle name="AF Header - IBM Cognos" xfId="14" xr:uid="{9BB769AA-6C2A-48DD-BB5A-248BEE98EBE5}"/>
    <cellStyle name="AF Header 0 - IBM Cognos" xfId="15" xr:uid="{4F8F37EA-199F-4F30-906C-438EDA9BE5D9}"/>
    <cellStyle name="AF Header 1 - IBM Cognos" xfId="16" xr:uid="{DFBE0BA0-6596-4F12-B649-10212C7936F0}"/>
    <cellStyle name="AF Header 2 - IBM Cognos" xfId="17" xr:uid="{3FC4208C-9964-42F2-82DD-43A80C98E7D8}"/>
    <cellStyle name="AF Header 3 - IBM Cognos" xfId="18" xr:uid="{32B5AF83-534A-4118-AB55-24206628964B}"/>
    <cellStyle name="AF Header 4 - IBM Cognos" xfId="19" xr:uid="{B6532491-5C25-4041-8A89-07BDE66FDF8A}"/>
    <cellStyle name="AF Header 5 - IBM Cognos" xfId="20" xr:uid="{AE248E47-8EF0-47B8-9DAC-5447A5BA003C}"/>
    <cellStyle name="AF Header Leaf - IBM Cognos" xfId="21" xr:uid="{CA18A33B-414E-4165-BE63-C02B91339B45}"/>
    <cellStyle name="AF Row - IBM Cognos" xfId="22" xr:uid="{05ECA743-BF52-4DE2-A336-B8FAA1823EA5}"/>
    <cellStyle name="AF Row 0 - IBM Cognos" xfId="23" xr:uid="{3367E1F2-D363-421A-A72C-CB2C1E80AD6B}"/>
    <cellStyle name="AF Row 1 - IBM Cognos" xfId="24" xr:uid="{BBA92A38-F9BD-4642-A81F-008A89298BFC}"/>
    <cellStyle name="AF Row 2 - IBM Cognos" xfId="25" xr:uid="{759BD616-F3BE-460F-A7F7-B47D55EF6B93}"/>
    <cellStyle name="AF Row 3 - IBM Cognos" xfId="26" xr:uid="{AA1AD21D-DAEE-40F3-8965-28641DAA2013}"/>
    <cellStyle name="AF Row 4 - IBM Cognos" xfId="27" xr:uid="{538C8EA5-6EA8-4940-A4D7-5FAF8BD7C7B7}"/>
    <cellStyle name="AF Row 5 - IBM Cognos" xfId="28" xr:uid="{3613C0B6-2C4B-4912-B26E-FAAE9030E513}"/>
    <cellStyle name="AF Row Leaf - IBM Cognos" xfId="29" xr:uid="{B85B96F3-8DC1-4F87-ADD9-C52637AA5BF2}"/>
    <cellStyle name="AF Subnm - IBM Cognos" xfId="30" xr:uid="{3FB6B17B-033F-4EEE-A647-F98585A2C4B5}"/>
    <cellStyle name="AF Title - IBM Cognos" xfId="31" xr:uid="{2207D075-44C5-4D1D-BBB7-E401BC8E8C8F}"/>
    <cellStyle name="Calculated Column - IBM Cognos" xfId="32" xr:uid="{CC939607-8253-41F8-957D-8D2A04B3206A}"/>
    <cellStyle name="Calculated Column Name - IBM Cognos" xfId="33" xr:uid="{A24A2493-5344-41BB-8310-3916B546A158}"/>
    <cellStyle name="Calculated Row - IBM Cognos" xfId="34" xr:uid="{DC4E3176-81C6-4713-8596-3B670B12A73A}"/>
    <cellStyle name="Calculated Row Name - IBM Cognos" xfId="35" xr:uid="{3F74C784-3F56-4547-9345-B914600A81CC}"/>
    <cellStyle name="Column Name - IBM Cognos" xfId="36" xr:uid="{303D092F-F174-43D2-A5BA-F807A4A68264}"/>
    <cellStyle name="Column Template - IBM Cognos" xfId="37" xr:uid="{BAE7E6BD-F891-49E5-BCDE-15161EFDB7F9}"/>
    <cellStyle name="Comma" xfId="1" builtinId="3"/>
    <cellStyle name="Differs From Base - IBM Cognos" xfId="38" xr:uid="{65E06D48-5163-4A59-BAA9-DAF45AC012CC}"/>
    <cellStyle name="Edit - IBM Cognos" xfId="39" xr:uid="{0A35FDBB-518B-4638-8B9F-2A08CB1B637A}"/>
    <cellStyle name="Formula - IBM Cognos" xfId="40" xr:uid="{E853E040-091F-41BB-A4BF-EC1F91204A3B}"/>
    <cellStyle name="Group Name - IBM Cognos" xfId="41" xr:uid="{2BAACCA0-A435-45A1-9AEC-C80DE964F860}"/>
    <cellStyle name="Hold Values - IBM Cognos" xfId="42" xr:uid="{684E62E5-57B4-46A1-8152-E66FAC7E1AC6}"/>
    <cellStyle name="List Name - IBM Cognos" xfId="43" xr:uid="{771FED17-3F6E-4F0C-A939-019E550CBFD8}"/>
    <cellStyle name="Locked - IBM Cognos" xfId="44" xr:uid="{54CCB7E7-98B9-49D3-9873-824A097767C5}"/>
    <cellStyle name="Measure - IBM Cognos" xfId="45" xr:uid="{5ED0857C-2F85-4C90-9BEE-95EA884D8707}"/>
    <cellStyle name="Measure Header - IBM Cognos" xfId="46" xr:uid="{F0EDB94D-DF0F-41F3-9B64-0DAFAF1A9AAF}"/>
    <cellStyle name="Measure Name - IBM Cognos" xfId="47" xr:uid="{C7E6DCB2-7698-4AE5-8345-4E057639F38E}"/>
    <cellStyle name="Measure Summary - IBM Cognos" xfId="48" xr:uid="{274C6F70-9C9E-4ED8-99D8-DB915D3E7128}"/>
    <cellStyle name="Measure Summary TM1 - IBM Cognos" xfId="49" xr:uid="{C5FB1796-6309-482B-9D49-F9608F315100}"/>
    <cellStyle name="Measure Template - IBM Cognos" xfId="50" xr:uid="{DC6915A0-5BB7-4D73-BCB1-02F5C8E4BF1F}"/>
    <cellStyle name="More - IBM Cognos" xfId="51" xr:uid="{EE791440-E4DD-45B7-8869-33565AE77122}"/>
    <cellStyle name="Normal" xfId="0" builtinId="0"/>
    <cellStyle name="Output" xfId="2" builtinId="21"/>
    <cellStyle name="Pending Change - IBM Cognos" xfId="52" xr:uid="{9881F462-AB31-4491-802C-019F004B5013}"/>
    <cellStyle name="Row Name - IBM Cognos" xfId="53" xr:uid="{89D8F49B-5B59-4129-81CA-2221D1A63401}"/>
    <cellStyle name="Row Template - IBM Cognos" xfId="54" xr:uid="{F6ED553B-E9D5-4E74-B83D-3624DCABE95C}"/>
    <cellStyle name="Summary Column Name - IBM Cognos" xfId="55" xr:uid="{D03A3F06-9EEC-46E2-A496-9659D03F20BC}"/>
    <cellStyle name="Summary Column Name TM1 - IBM Cognos" xfId="56" xr:uid="{C46A84AE-81F6-4F7E-A99F-CC24D4656E52}"/>
    <cellStyle name="Summary Row Name - IBM Cognos" xfId="57" xr:uid="{30B4D176-A134-4778-847E-51E1D8094C45}"/>
    <cellStyle name="Summary Row Name TM1 - IBM Cognos" xfId="58" xr:uid="{11F1606A-6AE8-4243-9E77-17E21BCFCE7F}"/>
    <cellStyle name="Unsaved Change - IBM Cognos" xfId="59" xr:uid="{B8D68589-68AE-43A6-AEE3-34BE6E180976}"/>
  </cellStyles>
  <dxfs count="10">
    <dxf>
      <font>
        <b/>
        <i val="0"/>
        <color rgb="FFFF8243"/>
      </font>
      <fill>
        <patternFill patternType="solid">
          <bgColor theme="0" tint="-4.9989318521683403E-2"/>
        </patternFill>
      </fill>
    </dxf>
    <dxf>
      <font>
        <b/>
        <i val="0"/>
        <color rgb="FFFF8243"/>
      </font>
      <fill>
        <patternFill patternType="solid">
          <bgColor theme="0" tint="-4.9989318521683403E-2"/>
        </patternFill>
      </fill>
    </dxf>
    <dxf>
      <font>
        <b/>
        <i val="0"/>
        <color rgb="FF8BC43F"/>
      </font>
      <fill>
        <patternFill patternType="solid">
          <bgColor theme="0" tint="-4.9989318521683403E-2"/>
        </patternFill>
      </fill>
    </dxf>
    <dxf>
      <font>
        <b/>
        <i val="0"/>
        <color rgb="FFFF8243"/>
      </font>
      <fill>
        <patternFill patternType="solid">
          <bgColor theme="0" tint="-4.9989318521683403E-2"/>
        </patternFill>
      </fill>
    </dxf>
    <dxf>
      <font>
        <b/>
        <i val="0"/>
        <color theme="0"/>
      </font>
      <fill>
        <patternFill>
          <bgColor rgb="FFFF8243"/>
        </patternFill>
      </fill>
    </dxf>
    <dxf>
      <font>
        <b/>
        <i val="0"/>
        <color theme="0"/>
      </font>
      <fill>
        <patternFill>
          <bgColor rgb="FF8BC43F"/>
        </patternFill>
      </fill>
    </dxf>
    <dxf>
      <font>
        <b/>
        <i val="0"/>
        <color rgb="FFFFCC25"/>
      </font>
    </dxf>
    <dxf>
      <font>
        <b/>
        <i val="0"/>
        <color rgb="FF8BC43F"/>
      </font>
    </dxf>
    <dxf>
      <font>
        <b/>
        <i val="0"/>
        <color rgb="FFFF8243"/>
      </font>
    </dxf>
    <dxf>
      <font>
        <b/>
        <i val="0"/>
        <color theme="0"/>
      </font>
      <fill>
        <patternFill>
          <bgColor rgb="FFFF8243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546EAB"/>
      <rgbColor rgb="00888FAC"/>
      <rgbColor rgb="000000FF"/>
      <rgbColor rgb="00830E17"/>
      <rgbColor rgb="00CDB79E"/>
      <rgbColor rgb="00FFD08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8F8F8"/>
      <rgbColor rgb="00CC99FF"/>
      <rgbColor rgb="00FFCC99"/>
      <rgbColor rgb="003366FF"/>
      <rgbColor rgb="0033CCCC"/>
      <rgbColor rgb="00E5E5E5"/>
      <rgbColor rgb="00D6DDEA"/>
      <rgbColor rgb="0099AACC"/>
      <rgbColor rgb="00E56565"/>
      <rgbColor rgb="00666699"/>
      <rgbColor rgb="00969696"/>
      <rgbColor rgb="0039CF08"/>
      <rgbColor rgb="00FFFAFA"/>
      <rgbColor rgb="00D6595A"/>
      <rgbColor rgb="00FFBE31"/>
      <rgbColor rgb="00993300"/>
      <rgbColor rgb="00993366"/>
      <rgbColor rgb="00333399"/>
      <rgbColor rgb="00333333"/>
    </indexedColors>
    <mruColors>
      <color rgb="FF608DAC"/>
      <color rgb="FF152935"/>
      <color rgb="FFA9F5D3"/>
      <color rgb="FF04460C"/>
      <color rgb="FF9CA7AC"/>
      <color rgb="FF8BC43F"/>
      <color rgb="FFFF8243"/>
      <color rgb="FF0296DF"/>
      <color rgb="FFFFCC25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3133"/>
  <ax:ocxPr ax:name="_ExtentY" ax:value="1376"/>
  <ax:ocxPr ax:name="_StockProps" ax:value="0"/>
  <ax:ocxPr ax:name="ServerName" ax:value="24retail"/>
  <ax:ocxPr ax:name="ProcessName" ax:value="-- Get Process info from Worksheet --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14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Start now"/>
  <ax:ocxPr ax:name="UseFormula" ax:value="-1"/>
  <ax:ocxPr ax:name="ProcessNameFormula" ax:value=""/>
  <ax:ocxPr ax:name="ProcessParamFormula" ax:value=""/>
  <ax:ocxPr ax:name="UseImage" ax:value="0"/>
  <ax:ocxPr ax:name="ImageName" ax:value="transaparentbutton_menu.gif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Intro"/>
  <ax:ocxPr ax:name="TargetWorksheetName" ax:value="Tasks"/>
  <ax:ocxPr ax:name="AutoTitles" ax:value="0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0"/>
  <ax:ocxPr ax:name="WorkSheetRecalc" ax:value="1"/>
  <ax:ocxPr ax:name="ProcessRecalc" ax:value="1"/>
  <ax:ocxPr ax:name="DoReCalcOnly" ax:value="0"/>
  <ax:ocxPr ax:name="UseReferenceForServerName" ax:value="0"/>
  <ax:ocxPr ax:name="ResizeButtonToCaption" ax:value="0"/>
</ax:ocx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PL"/>
  <ax:ocxPr ax:name="TargetWorksheetName" ax:value="PLReport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3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PL"/>
  <ax:ocxPr ax:name="TargetWorksheetName" ax:value="FxVar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4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PL"/>
  <ax:ocxPr ax:name="TargetWorksheetName" ax:value="Fcst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5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OperatingExpense"/>
  <ax:ocxPr ax:name="TargetWorksheetName" ax:value="PhasedCosts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6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Capital"/>
  <ax:ocxPr ax:name="TargetWorksheetName" ax:value="Depreciation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7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EmployeeDetails"/>
  <ax:ocxPr ax:name="TargetWorksheetName" ax:value="Report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8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EmployeeDetails"/>
  <ax:ocxPr ax:name="TargetWorksheetName" ax:value="Employees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9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UnitFcst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10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PL"/>
  <ax:ocxPr ax:name="TargetWorksheetName" ax:value="AllocDetail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1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OperatingExpense"/>
  <ax:ocxPr ax:name="TargetWorksheetName" ax:value="LineItemDetail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12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Capital"/>
  <ax:ocxPr ax:name="TargetWorksheetName" ax:value="Capital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activeX/activeX13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2117"/>
  <ax:ocxPr ax:name="_ExtentY" ax:value="826"/>
  <ax:ocxPr ax:name="_StockProps" ax:value="0"/>
  <ax:ocxPr ax:name="ServerName" ax:value="24retail"/>
  <ax:ocxPr ax:name="ProcessName" ax:value="Acquire_IS"/>
  <ax:ocxPr ax:name="Name" ax:value=""/>
  <ax:ocxPr ax:name="Type" ax:value=""/>
  <ax:ocxPr ax:name="Value" ax:value=""/>
  <ax:ocxPr ax:name="Prompt" ax:value=""/>
  <ax:ocxPr ax:name="BackColor" ax:value="11308384"/>
  <ax:ocxPr ax:name="ForeColor" ax:value="16777215"/>
  <ax:ocxPr ax:name="Font">
    <ax:font ax:persistence="persistPropertyBag">
      <ax:ocxPr ax:name="Name" ax:value="Arial"/>
      <ax:ocxPr ax:name="Size" ax:value="8.4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Caption" ax:value="Launch"/>
  <ax:ocxPr ax:name="UseFormula" ax:value="0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Contribution\Revenue"/>
  <ax:ocxPr ax:name="TargetWorksheetName" ax:value="ProductAdmin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-1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0"/>
  <ax:ocxPr ax:name="ResizeButtonToCaption" ax:value="-1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rgbClr val="66CBFD"/>
            </a:solidFill>
            <a:ln>
              <a:noFill/>
            </a:ln>
          </c:spPr>
          <c:dPt>
            <c:idx val="0"/>
            <c:bubble3D val="0"/>
            <c:spPr>
              <a:solidFill>
                <a:srgbClr val="8BC43F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EE05-4BBF-B43C-6305AB56FEB5}"/>
              </c:ext>
            </c:extLst>
          </c:dPt>
          <c:dPt>
            <c:idx val="1"/>
            <c:bubble3D val="0"/>
            <c:spPr>
              <a:solidFill>
                <a:srgbClr val="FF8243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EE05-4BBF-B43C-6305AB56FEB5}"/>
              </c:ext>
            </c:extLst>
          </c:dPt>
          <c:cat>
            <c:strRef>
              <c:f>Status!$B$22:$B$23</c:f>
              <c:strCache>
                <c:ptCount val="2"/>
                <c:pt idx="0">
                  <c:v>Tasks Completed</c:v>
                </c:pt>
                <c:pt idx="1">
                  <c:v>Tasks Remaining</c:v>
                </c:pt>
              </c:strCache>
            </c:strRef>
          </c:cat>
          <c:val>
            <c:numRef>
              <c:f>Status!$D$22:$D$23</c:f>
              <c:numCache>
                <c:formatCode>General</c:formatCode>
                <c:ptCount val="2"/>
                <c:pt idx="0">
                  <c:v>7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05-4BBF-B43C-6305AB56F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solidFill>
          <a:schemeClr val="bg2"/>
        </a:solidFill>
      </c:spPr>
    </c:plotArea>
    <c:legend>
      <c:legendPos val="r"/>
      <c:overlay val="0"/>
      <c:txPr>
        <a:bodyPr/>
        <a:lstStyle/>
        <a:p>
          <a:pPr rtl="0">
            <a:defRPr sz="800" b="1" i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2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13</xdr:row>
      <xdr:rowOff>28575</xdr:rowOff>
    </xdr:from>
    <xdr:to>
      <xdr:col>19</xdr:col>
      <xdr:colOff>314326</xdr:colOff>
      <xdr:row>14</xdr:row>
      <xdr:rowOff>171450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4419600" y="2400300"/>
          <a:ext cx="1733551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500" b="1" i="0" baseline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Our Solution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144780</xdr:colOff>
          <xdr:row>0</xdr:row>
          <xdr:rowOff>137160</xdr:rowOff>
        </xdr:from>
        <xdr:to>
          <xdr:col>24</xdr:col>
          <xdr:colOff>350520</xdr:colOff>
          <xdr:row>2</xdr:row>
          <xdr:rowOff>167640</xdr:rowOff>
        </xdr:to>
        <xdr:sp macro="" textlink="">
          <xdr:nvSpPr>
            <xdr:cNvPr id="7169" name="TI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</xdr:col>
      <xdr:colOff>22860</xdr:colOff>
      <xdr:row>0</xdr:row>
      <xdr:rowOff>22860</xdr:rowOff>
    </xdr:from>
    <xdr:to>
      <xdr:col>25</xdr:col>
      <xdr:colOff>228600</xdr:colOff>
      <xdr:row>26</xdr:row>
      <xdr:rowOff>137808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BA06DC-7382-4A8F-ADA1-F07A4AA38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22860"/>
          <a:ext cx="10058400" cy="49079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7</xdr:row>
          <xdr:rowOff>22860</xdr:rowOff>
        </xdr:from>
        <xdr:to>
          <xdr:col>7</xdr:col>
          <xdr:colOff>68580</xdr:colOff>
          <xdr:row>8</xdr:row>
          <xdr:rowOff>7620</xdr:rowOff>
        </xdr:to>
        <xdr:sp macro="" textlink="">
          <xdr:nvSpPr>
            <xdr:cNvPr id="3073" name="TI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13</xdr:row>
          <xdr:rowOff>0</xdr:rowOff>
        </xdr:from>
        <xdr:to>
          <xdr:col>7</xdr:col>
          <xdr:colOff>76200</xdr:colOff>
          <xdr:row>13</xdr:row>
          <xdr:rowOff>297180</xdr:rowOff>
        </xdr:to>
        <xdr:sp macro="" textlink="">
          <xdr:nvSpPr>
            <xdr:cNvPr id="3075" name="TI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16</xdr:row>
          <xdr:rowOff>7620</xdr:rowOff>
        </xdr:from>
        <xdr:to>
          <xdr:col>7</xdr:col>
          <xdr:colOff>68580</xdr:colOff>
          <xdr:row>16</xdr:row>
          <xdr:rowOff>304800</xdr:rowOff>
        </xdr:to>
        <xdr:sp macro="" textlink="">
          <xdr:nvSpPr>
            <xdr:cNvPr id="3076" name="TI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19</xdr:row>
          <xdr:rowOff>45720</xdr:rowOff>
        </xdr:from>
        <xdr:to>
          <xdr:col>7</xdr:col>
          <xdr:colOff>60960</xdr:colOff>
          <xdr:row>20</xdr:row>
          <xdr:rowOff>30480</xdr:rowOff>
        </xdr:to>
        <xdr:sp macro="" textlink="">
          <xdr:nvSpPr>
            <xdr:cNvPr id="3077" name="TI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8</xdr:row>
          <xdr:rowOff>7620</xdr:rowOff>
        </xdr:from>
        <xdr:to>
          <xdr:col>7</xdr:col>
          <xdr:colOff>76200</xdr:colOff>
          <xdr:row>8</xdr:row>
          <xdr:rowOff>304800</xdr:rowOff>
        </xdr:to>
        <xdr:sp macro="" textlink="">
          <xdr:nvSpPr>
            <xdr:cNvPr id="3078" name="TIButton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10</xdr:row>
          <xdr:rowOff>7620</xdr:rowOff>
        </xdr:from>
        <xdr:to>
          <xdr:col>7</xdr:col>
          <xdr:colOff>83820</xdr:colOff>
          <xdr:row>10</xdr:row>
          <xdr:rowOff>304800</xdr:rowOff>
        </xdr:to>
        <xdr:sp macro="" textlink="">
          <xdr:nvSpPr>
            <xdr:cNvPr id="3080" name="TIButton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11</xdr:row>
          <xdr:rowOff>45720</xdr:rowOff>
        </xdr:from>
        <xdr:to>
          <xdr:col>7</xdr:col>
          <xdr:colOff>83820</xdr:colOff>
          <xdr:row>12</xdr:row>
          <xdr:rowOff>30480</xdr:rowOff>
        </xdr:to>
        <xdr:sp macro="" textlink="">
          <xdr:nvSpPr>
            <xdr:cNvPr id="3081" name="TIButton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14</xdr:row>
          <xdr:rowOff>0</xdr:rowOff>
        </xdr:from>
        <xdr:to>
          <xdr:col>7</xdr:col>
          <xdr:colOff>68580</xdr:colOff>
          <xdr:row>14</xdr:row>
          <xdr:rowOff>297180</xdr:rowOff>
        </xdr:to>
        <xdr:sp macro="" textlink="">
          <xdr:nvSpPr>
            <xdr:cNvPr id="3082" name="TIButton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17</xdr:row>
          <xdr:rowOff>30480</xdr:rowOff>
        </xdr:from>
        <xdr:to>
          <xdr:col>7</xdr:col>
          <xdr:colOff>68580</xdr:colOff>
          <xdr:row>18</xdr:row>
          <xdr:rowOff>15240</xdr:rowOff>
        </xdr:to>
        <xdr:sp macro="" textlink="">
          <xdr:nvSpPr>
            <xdr:cNvPr id="3083" name="TIButton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20</xdr:row>
          <xdr:rowOff>0</xdr:rowOff>
        </xdr:from>
        <xdr:to>
          <xdr:col>7</xdr:col>
          <xdr:colOff>60960</xdr:colOff>
          <xdr:row>20</xdr:row>
          <xdr:rowOff>297180</xdr:rowOff>
        </xdr:to>
        <xdr:sp macro="" textlink="">
          <xdr:nvSpPr>
            <xdr:cNvPr id="3084" name="TIButton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</xdr:colOff>
          <xdr:row>21</xdr:row>
          <xdr:rowOff>7620</xdr:rowOff>
        </xdr:from>
        <xdr:to>
          <xdr:col>7</xdr:col>
          <xdr:colOff>60960</xdr:colOff>
          <xdr:row>21</xdr:row>
          <xdr:rowOff>304800</xdr:rowOff>
        </xdr:to>
        <xdr:sp macro="" textlink="">
          <xdr:nvSpPr>
            <xdr:cNvPr id="3085" name="TIButton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22</xdr:row>
          <xdr:rowOff>38100</xdr:rowOff>
        </xdr:from>
        <xdr:to>
          <xdr:col>7</xdr:col>
          <xdr:colOff>68580</xdr:colOff>
          <xdr:row>23</xdr:row>
          <xdr:rowOff>22860</xdr:rowOff>
        </xdr:to>
        <xdr:sp macro="" textlink="">
          <xdr:nvSpPr>
            <xdr:cNvPr id="3086" name="TIButton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5</xdr:col>
      <xdr:colOff>0</xdr:colOff>
      <xdr:row>2</xdr:row>
      <xdr:rowOff>57150</xdr:rowOff>
    </xdr:from>
    <xdr:to>
      <xdr:col>9</xdr:col>
      <xdr:colOff>552450</xdr:colOff>
      <xdr:row>4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5250" y="57150"/>
          <a:ext cx="5543550" cy="714375"/>
        </a:xfrm>
        <a:prstGeom prst="rect">
          <a:avLst/>
        </a:prstGeom>
        <a:gradFill flip="none" rotWithShape="1">
          <a:gsLst>
            <a:gs pos="100000">
              <a:srgbClr val="152935"/>
            </a:gs>
            <a:gs pos="0">
              <a:srgbClr val="9CA7AC"/>
            </a:gs>
          </a:gsLst>
          <a:lin ang="0" scaled="1"/>
          <a:tileRect/>
        </a:gra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533400</xdr:colOff>
      <xdr:row>2</xdr:row>
      <xdr:rowOff>57150</xdr:rowOff>
    </xdr:from>
    <xdr:to>
      <xdr:col>12</xdr:col>
      <xdr:colOff>0</xdr:colOff>
      <xdr:row>4</xdr:row>
      <xdr:rowOff>19050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19750" y="57150"/>
          <a:ext cx="2143125" cy="7143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16</xdr:row>
      <xdr:rowOff>142874</xdr:rowOff>
    </xdr:from>
    <xdr:to>
      <xdr:col>5</xdr:col>
      <xdr:colOff>0</xdr:colOff>
      <xdr:row>21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9525</xdr:colOff>
      <xdr:row>2</xdr:row>
      <xdr:rowOff>19050</xdr:rowOff>
    </xdr:from>
    <xdr:to>
      <xdr:col>8</xdr:col>
      <xdr:colOff>390525</xdr:colOff>
      <xdr:row>3</xdr:row>
      <xdr:rowOff>400050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04775" y="19050"/>
          <a:ext cx="4972050" cy="714375"/>
        </a:xfrm>
        <a:prstGeom prst="rect">
          <a:avLst/>
        </a:prstGeom>
        <a:gradFill flip="none" rotWithShape="1">
          <a:gsLst>
            <a:gs pos="0">
              <a:srgbClr val="9CA7AC"/>
            </a:gs>
            <a:gs pos="100000">
              <a:srgbClr val="152935"/>
            </a:gs>
          </a:gsLst>
          <a:lin ang="0" scaled="1"/>
          <a:tileRect/>
        </a:gra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381000</xdr:colOff>
      <xdr:row>2</xdr:row>
      <xdr:rowOff>19050</xdr:rowOff>
    </xdr:from>
    <xdr:to>
      <xdr:col>12</xdr:col>
      <xdr:colOff>9525</xdr:colOff>
      <xdr:row>3</xdr:row>
      <xdr:rowOff>400050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067300" y="19050"/>
          <a:ext cx="2143125" cy="71437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5.xml"/><Relationship Id="rId19" Type="http://schemas.openxmlformats.org/officeDocument/2006/relationships/image" Target="../media/image10.emf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202C6-7239-4EDF-8509-7C493AC76105}">
  <dimension ref="A1"/>
  <sheetViews>
    <sheetView workbookViewId="0"/>
  </sheetViews>
  <sheetFormatPr defaultRowHeight="14.4" x14ac:dyDescent="0.3"/>
  <sheetData/>
  <pageMargins left="0.7" right="0.7" top="0.75" bottom="0.75" header="0.3" footer="0.3"/>
  <customProperties>
    <customPr name="CafeStyleVersion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I2:AB3"/>
  <sheetViews>
    <sheetView showGridLines="0" showRowColHeaders="0" tabSelected="1" topLeftCell="I1" workbookViewId="0">
      <selection activeCell="AB8" sqref="AB8"/>
    </sheetView>
  </sheetViews>
  <sheetFormatPr defaultRowHeight="14.4" x14ac:dyDescent="0.3"/>
  <cols>
    <col min="1" max="8" width="0" hidden="1" customWidth="1"/>
    <col min="9" max="9" width="2.5546875" style="22" customWidth="1"/>
    <col min="10" max="10" width="6.5546875" style="22" customWidth="1"/>
    <col min="11" max="11" width="7.44140625" style="22" customWidth="1"/>
    <col min="12" max="12" width="10.109375" style="22" customWidth="1"/>
    <col min="13" max="13" width="7" style="22" customWidth="1"/>
    <col min="14" max="14" width="10.33203125" style="22" customWidth="1"/>
    <col min="15" max="15" width="7.44140625" style="22" customWidth="1"/>
    <col min="16" max="16" width="9.109375" style="22"/>
    <col min="17" max="17" width="8.33203125" style="22" customWidth="1"/>
    <col min="18" max="18" width="10" style="22" customWidth="1"/>
    <col min="19" max="19" width="8.6640625" style="22" customWidth="1"/>
    <col min="20" max="20" width="9.109375" style="22"/>
    <col min="21" max="21" width="8.5546875" style="22" customWidth="1"/>
    <col min="22" max="22" width="12.109375" style="22" customWidth="1"/>
    <col min="23" max="23" width="8.5546875" style="22" customWidth="1"/>
    <col min="24" max="24" width="11.44140625" style="22" customWidth="1"/>
    <col min="25" max="25" width="6.33203125" style="22" customWidth="1"/>
    <col min="26" max="26" width="9.109375" style="22"/>
    <col min="27" max="27" width="2.5546875" style="22" customWidth="1"/>
    <col min="28" max="28" width="9.109375" style="22"/>
  </cols>
  <sheetData>
    <row r="2" spans="22:25" ht="17.399999999999999" x14ac:dyDescent="0.3">
      <c r="V2" s="21"/>
      <c r="W2" s="48"/>
      <c r="X2" s="49"/>
      <c r="Y2" s="49"/>
    </row>
    <row r="3" spans="22:25" x14ac:dyDescent="0.3">
      <c r="V3" s="23"/>
      <c r="W3" s="49"/>
      <c r="X3" s="49"/>
      <c r="Y3" s="49"/>
    </row>
  </sheetData>
  <mergeCells count="1">
    <mergeCell ref="W2:Y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TIButton1">
          <controlPr defaultSize="0" print="0" autoLine="0" autoPict="0" r:id="rId5">
            <anchor moveWithCells="1">
              <from>
                <xdr:col>23</xdr:col>
                <xdr:colOff>144780</xdr:colOff>
                <xdr:row>0</xdr:row>
                <xdr:rowOff>137160</xdr:rowOff>
              </from>
              <to>
                <xdr:col>24</xdr:col>
                <xdr:colOff>350520</xdr:colOff>
                <xdr:row>2</xdr:row>
                <xdr:rowOff>167640</xdr:rowOff>
              </to>
            </anchor>
          </controlPr>
        </control>
      </mc:Choice>
      <mc:Fallback>
        <control shapeId="7169" r:id="rId4" name="TI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showGridLines="0" workbookViewId="0"/>
  </sheetViews>
  <sheetFormatPr defaultRowHeight="14.4" x14ac:dyDescent="0.3"/>
  <sheetData/>
  <phoneticPr fontId="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6"/>
  <sheetViews>
    <sheetView showGridLines="0" showRowColHeaders="0" topLeftCell="E8" zoomScaleNormal="100" workbookViewId="0">
      <selection activeCell="E3" sqref="E3"/>
    </sheetView>
  </sheetViews>
  <sheetFormatPr defaultRowHeight="14.4" x14ac:dyDescent="0.3"/>
  <cols>
    <col min="1" max="3" width="9.109375" hidden="1" customWidth="1"/>
    <col min="4" max="4" width="11.109375" hidden="1" customWidth="1"/>
    <col min="5" max="5" width="1.44140625" customWidth="1"/>
    <col min="6" max="6" width="36.5546875" customWidth="1"/>
    <col min="7" max="7" width="10.5546875" customWidth="1"/>
    <col min="8" max="8" width="16" customWidth="1"/>
    <col min="9" max="10" width="11.6640625" customWidth="1"/>
    <col min="11" max="11" width="17.88671875" customWidth="1"/>
    <col min="12" max="12" width="10.5546875" customWidth="1"/>
  </cols>
  <sheetData>
    <row r="1" spans="1:12" hidden="1" x14ac:dyDescent="0.3">
      <c r="E1" t="s">
        <v>0</v>
      </c>
      <c r="F1" t="str">
        <f>_xll.VIEW("24retail:Task Workflow","!",$F$2,"!")</f>
        <v>24retail:Task Workflow</v>
      </c>
    </row>
    <row r="2" spans="1:12" hidden="1" x14ac:dyDescent="0.3">
      <c r="E2" s="2" t="s">
        <v>1</v>
      </c>
      <c r="F2" t="str">
        <f>_xll.SUBNM("24retail:organization","","101","Caption_Default")</f>
        <v>101</v>
      </c>
      <c r="G2" t="str">
        <f>_xll.DBRA("24retail:year","y2","caption_default")</f>
        <v>2015</v>
      </c>
    </row>
    <row r="3" spans="1:12" ht="27" customHeight="1" x14ac:dyDescent="0.3">
      <c r="E3" s="24"/>
      <c r="F3" s="14" t="str">
        <f>"FY"&amp;G2&amp;" Budget Application Instructions"</f>
        <v>FY2015 Budget Application Instructions</v>
      </c>
      <c r="G3" s="14"/>
      <c r="H3" s="14"/>
      <c r="I3" s="14"/>
      <c r="J3" s="14"/>
      <c r="K3" s="14"/>
      <c r="L3" s="14"/>
    </row>
    <row r="4" spans="1:12" s="6" customFormat="1" ht="32.25" customHeight="1" x14ac:dyDescent="0.3">
      <c r="F4" s="8"/>
      <c r="G4" s="10"/>
      <c r="H4" s="7"/>
      <c r="I4" s="7"/>
      <c r="J4" s="7"/>
      <c r="K4" s="7"/>
      <c r="L4" s="7"/>
    </row>
    <row r="5" spans="1:12" ht="29.25" customHeight="1" thickBot="1" x14ac:dyDescent="0.35">
      <c r="B5" t="s">
        <v>2</v>
      </c>
      <c r="C5" t="s">
        <v>3</v>
      </c>
      <c r="F5" s="42" t="s">
        <v>4</v>
      </c>
      <c r="G5" s="42" t="s">
        <v>39</v>
      </c>
      <c r="H5" s="42" t="s">
        <v>5</v>
      </c>
      <c r="I5" s="42" t="s">
        <v>6</v>
      </c>
      <c r="J5" s="42" t="s">
        <v>7</v>
      </c>
      <c r="K5" s="42"/>
      <c r="L5" s="42"/>
    </row>
    <row r="6" spans="1:12" ht="24.9" customHeight="1" thickTop="1" x14ac:dyDescent="0.3">
      <c r="A6" t="s">
        <v>8</v>
      </c>
      <c r="B6" s="3">
        <f>_xll.DBRW($F$1,$F6,$F$2,B$5)</f>
        <v>0</v>
      </c>
      <c r="C6" s="3" t="str">
        <f>_xll.DBRW($F$1,$F6,$F$2,C$5)</f>
        <v/>
      </c>
      <c r="D6" s="3"/>
      <c r="F6" s="43" t="str">
        <f>_xll.DBRA("24retail:task",A6,"caption_default")</f>
        <v>All Tasks</v>
      </c>
      <c r="G6" s="44"/>
      <c r="H6" s="45" t="str">
        <f>_xll.DBRW($F$1,$A6,$F$2,H$5)</f>
        <v>In Progress</v>
      </c>
      <c r="I6" s="46" t="str">
        <f>_xll.DBRW($F$1,$A6,$F$2,I$5)</f>
        <v/>
      </c>
      <c r="J6" s="53" t="str">
        <f>_xll.DBRW($F$1,$A6,$F$2,J$5)</f>
        <v/>
      </c>
      <c r="K6" s="53" t="e">
        <f>_xll.DBRW($F$1,$A6,$F$2,K$5)</f>
        <v>#VALUE!</v>
      </c>
      <c r="L6" s="53" t="e">
        <f>_xll.DBRW($F$1,$A6,$F$2,L$5)</f>
        <v>#VALUE!</v>
      </c>
    </row>
    <row r="7" spans="1:12" ht="24.9" customHeight="1" x14ac:dyDescent="0.3">
      <c r="A7" s="4" t="s">
        <v>9</v>
      </c>
      <c r="B7" s="3">
        <f>_xll.DBRW($F$1,$F7,$F$2,B$5)</f>
        <v>0</v>
      </c>
      <c r="C7" s="3" t="str">
        <f>_xll.DBRW($F$1,$F7,$F$2,C$5)</f>
        <v/>
      </c>
      <c r="D7" s="3"/>
      <c r="F7" s="16" t="str">
        <f>_xll.DBRA("24retail:task",A7,"caption_default")</f>
        <v>Revenue</v>
      </c>
      <c r="G7" s="18"/>
      <c r="H7" s="15" t="str">
        <f>_xll.DBRW($F$1,$A7,$F$2,H$5)</f>
        <v>In Progress</v>
      </c>
      <c r="I7" s="41" t="str">
        <f>_xll.DBRW($F$1,$A7,$F$2,I$5)</f>
        <v/>
      </c>
      <c r="J7" s="51" t="str">
        <f>_xll.DBRW($F$1,$A7,$F$2,J$5)</f>
        <v/>
      </c>
      <c r="K7" s="51" t="e">
        <f>_xll.DBRW($F$1,$A7,$F$2,K$5)</f>
        <v>#VALUE!</v>
      </c>
      <c r="L7" s="51" t="e">
        <f>_xll.DBRW($F$1,$A7,$F$2,L$5)</f>
        <v>#VALUE!</v>
      </c>
    </row>
    <row r="8" spans="1:12" ht="24.9" customHeight="1" x14ac:dyDescent="0.3">
      <c r="A8" s="4" t="s">
        <v>10</v>
      </c>
      <c r="B8" s="3">
        <f>_xll.DBRW($F$1,$F8,$F$2,B$5)</f>
        <v>-2246</v>
      </c>
      <c r="C8" s="3" t="str">
        <f>_xll.DBRW($F$1,$F8,$F$2,C$5)</f>
        <v/>
      </c>
      <c r="D8" s="3"/>
      <c r="F8" s="27" t="str">
        <f>_xll.DBRA("24retail:task",A8,"caption_default")</f>
        <v>Enter New Products</v>
      </c>
      <c r="G8" s="19"/>
      <c r="H8" s="25" t="str">
        <f>_xll.DBRW($F$1,$A8,$F$2,H$5)</f>
        <v>Complete</v>
      </c>
      <c r="I8" s="26" t="str">
        <f>_xll.DBRW($F$1,$A8,$F$2,I$5)</f>
        <v>2013-08-08</v>
      </c>
      <c r="J8" s="50" t="str">
        <f>_xll.DBRW($F$1,$A8,$F$2,J$5)</f>
        <v>Price increase in 4G product line to boost Margin</v>
      </c>
      <c r="K8" s="50" t="e">
        <f>_xll.DBRW($F$1,$A8,$F$2,K$5)</f>
        <v>#VALUE!</v>
      </c>
      <c r="L8" s="50" t="e">
        <f>_xll.DBRW($F$1,$A8,$F$2,L$5)</f>
        <v>#VALUE!</v>
      </c>
    </row>
    <row r="9" spans="1:12" ht="24.9" customHeight="1" x14ac:dyDescent="0.3">
      <c r="A9" s="4" t="s">
        <v>11</v>
      </c>
      <c r="B9" s="3">
        <f>_xll.DBRW($F$1,$F9,$F$2,B$5)</f>
        <v>-2246</v>
      </c>
      <c r="C9" s="3" t="str">
        <f>_xll.DBRW($F$1,$F9,$F$2,C$5)</f>
        <v>Overdue</v>
      </c>
      <c r="D9" s="3"/>
      <c r="F9" s="27" t="str">
        <f>_xll.DBRA("24retail:task",A9,"caption_default")</f>
        <v>Plan Units Sold</v>
      </c>
      <c r="G9" s="19"/>
      <c r="H9" s="25" t="str">
        <f>_xll.DBRW($F$1,$A9,$F$2,H$5)</f>
        <v>Not Started</v>
      </c>
      <c r="I9" s="26" t="str">
        <f>_xll.DBRW($F$1,$A9,$F$2,I$5)</f>
        <v>2013-08-08</v>
      </c>
      <c r="J9" s="50" t="str">
        <f>_xll.DBRW($F$1,$A9,$F$2,J$5)</f>
        <v/>
      </c>
      <c r="K9" s="50" t="e">
        <f>_xll.DBRW($F$1,$A9,$F$2,K$5)</f>
        <v>#VALUE!</v>
      </c>
      <c r="L9" s="50" t="e">
        <f>_xll.DBRW($F$1,$A9,$F$2,L$5)</f>
        <v>#VALUE!</v>
      </c>
    </row>
    <row r="10" spans="1:12" ht="24.9" customHeight="1" x14ac:dyDescent="0.3">
      <c r="A10" s="4" t="s">
        <v>12</v>
      </c>
      <c r="B10" s="3">
        <f>_xll.DBRW($F$1,$F10,$F$2,B$5)</f>
        <v>0</v>
      </c>
      <c r="C10" s="3" t="str">
        <f>_xll.DBRW($F$1,$F10,$F$2,C$5)</f>
        <v/>
      </c>
      <c r="D10" s="3"/>
      <c r="F10" s="16" t="str">
        <f>_xll.DBRA("24retail:task",A10,"caption_default")</f>
        <v>Headcount</v>
      </c>
      <c r="G10" s="18"/>
      <c r="H10" s="15" t="str">
        <f>_xll.DBRW($F$1,$A10,$F$2,H$5)</f>
        <v>Complete</v>
      </c>
      <c r="I10" s="17" t="str">
        <f>_xll.DBRW($F$1,$A10,$F$2,I$5)</f>
        <v/>
      </c>
      <c r="J10" s="51" t="str">
        <f>_xll.DBRW($F$1,$A10,$F$2,J$5)</f>
        <v/>
      </c>
      <c r="K10" s="51" t="e">
        <f>_xll.DBRW($F$1,$A10,$F$2,K$5)</f>
        <v>#VALUE!</v>
      </c>
      <c r="L10" s="51" t="e">
        <f>_xll.DBRW($F$1,$A10,$F$2,L$5)</f>
        <v>#VALUE!</v>
      </c>
    </row>
    <row r="11" spans="1:12" ht="24.9" customHeight="1" x14ac:dyDescent="0.3">
      <c r="A11" s="4" t="s">
        <v>13</v>
      </c>
      <c r="B11" s="3">
        <f>_xll.DBRW($F$1,$F11,$F$2,B$5)</f>
        <v>-2117</v>
      </c>
      <c r="C11" s="3" t="str">
        <f>_xll.DBRW($F$1,$F11,$F$2,C$5)</f>
        <v/>
      </c>
      <c r="D11" s="3"/>
      <c r="F11" s="27" t="str">
        <f>_xll.DBRA("24retail:task",A11,"caption_default")</f>
        <v>Amend Existing / Add new Headcount</v>
      </c>
      <c r="G11" s="19"/>
      <c r="H11" s="25" t="str">
        <f>_xll.DBRW($F$1,$A11,$F$2,H$5)</f>
        <v>Complete</v>
      </c>
      <c r="I11" s="26" t="str">
        <f>_xll.DBRW($F$1,$A11,$F$2,I$5)</f>
        <v>2013-12-15</v>
      </c>
      <c r="J11" s="50" t="str">
        <f>_xll.DBRW($F$1,$A11,$F$2,J$5)</f>
        <v/>
      </c>
      <c r="K11" s="50" t="e">
        <f>_xll.DBRW($F$1,$A11,$F$2,K$5)</f>
        <v>#VALUE!</v>
      </c>
      <c r="L11" s="50" t="e">
        <f>_xll.DBRW($F$1,$A11,$F$2,L$5)</f>
        <v>#VALUE!</v>
      </c>
    </row>
    <row r="12" spans="1:12" ht="24.9" customHeight="1" x14ac:dyDescent="0.3">
      <c r="A12" s="4" t="s">
        <v>14</v>
      </c>
      <c r="B12" s="3">
        <f>_xll.DBRW($F$1,$F12,$F$2,B$5)</f>
        <v>-2117</v>
      </c>
      <c r="C12" s="3" t="str">
        <f>_xll.DBRW($F$1,$F12,$F$2,C$5)</f>
        <v/>
      </c>
      <c r="D12" s="3"/>
      <c r="F12" s="27" t="str">
        <f>_xll.DBRA("24retail:task",A12,"caption_default")</f>
        <v>Review Total Compensation Spend</v>
      </c>
      <c r="G12" s="19"/>
      <c r="H12" s="25" t="str">
        <f>_xll.DBRW($F$1,$A12,$F$2,H$5)</f>
        <v>Complete</v>
      </c>
      <c r="I12" s="26" t="str">
        <f>_xll.DBRW($F$1,$A12,$F$2,I$5)</f>
        <v>2013-12-15</v>
      </c>
      <c r="J12" s="50" t="str">
        <f>_xll.DBRW($F$1,$A12,$F$2,J$5)</f>
        <v/>
      </c>
      <c r="K12" s="50" t="e">
        <f>_xll.DBRW($F$1,$A12,$F$2,K$5)</f>
        <v>#VALUE!</v>
      </c>
      <c r="L12" s="50" t="e">
        <f>_xll.DBRW($F$1,$A12,$F$2,L$5)</f>
        <v>#VALUE!</v>
      </c>
    </row>
    <row r="13" spans="1:12" ht="24.9" customHeight="1" x14ac:dyDescent="0.3">
      <c r="A13" s="4" t="s">
        <v>15</v>
      </c>
      <c r="B13" s="3">
        <f>_xll.DBRW($F$1,$F13,$F$2,B$5)</f>
        <v>0</v>
      </c>
      <c r="C13" s="3" t="str">
        <f>_xll.DBRW($F$1,$F13,$F$2,C$5)</f>
        <v/>
      </c>
      <c r="D13" s="3"/>
      <c r="F13" s="16" t="str">
        <f>_xll.DBRA("24retail:task",A13,"caption_default")</f>
        <v>Capital</v>
      </c>
      <c r="G13" s="18"/>
      <c r="H13" s="15" t="str">
        <f>_xll.DBRW($F$1,$A13,$F$2,H$5)</f>
        <v>Not Started</v>
      </c>
      <c r="I13" s="17" t="str">
        <f>_xll.DBRW($F$1,$A13,$F$2,I$5)</f>
        <v/>
      </c>
      <c r="J13" s="51" t="str">
        <f>_xll.DBRW($F$1,$A13,$F$2,J$5)</f>
        <v/>
      </c>
      <c r="K13" s="51" t="e">
        <f>_xll.DBRW($F$1,$A13,$F$2,K$5)</f>
        <v>#VALUE!</v>
      </c>
      <c r="L13" s="51" t="e">
        <f>_xll.DBRW($F$1,$A13,$F$2,L$5)</f>
        <v>#VALUE!</v>
      </c>
    </row>
    <row r="14" spans="1:12" ht="24.9" customHeight="1" x14ac:dyDescent="0.3">
      <c r="A14" s="4" t="s">
        <v>16</v>
      </c>
      <c r="B14" s="3">
        <f>_xll.DBRW($F$1,$F14,$F$2,B$5)</f>
        <v>-2117</v>
      </c>
      <c r="C14" s="3" t="str">
        <f>_xll.DBRW($F$1,$F14,$F$2,C$5)</f>
        <v>Overdue</v>
      </c>
      <c r="D14" s="3"/>
      <c r="F14" s="27" t="str">
        <f>_xll.DBRA("24retail:task",A14,"caption_default")</f>
        <v>Add New Capital Requests</v>
      </c>
      <c r="G14" s="19"/>
      <c r="H14" s="25" t="str">
        <f>_xll.DBRW($F$1,$A14,$F$2,H$5)</f>
        <v>Not Started</v>
      </c>
      <c r="I14" s="26" t="str">
        <f>_xll.DBRW($F$1,$A14,$F$2,I$5)</f>
        <v>2013-12-15</v>
      </c>
      <c r="J14" s="50" t="str">
        <f>_xll.DBRW($F$1,$A14,$F$2,J$5)</f>
        <v/>
      </c>
      <c r="K14" s="50" t="e">
        <f>_xll.DBRW($F$1,$A14,$F$2,K$5)</f>
        <v>#VALUE!</v>
      </c>
      <c r="L14" s="50" t="e">
        <f>_xll.DBRW($F$1,$A14,$F$2,L$5)</f>
        <v>#VALUE!</v>
      </c>
    </row>
    <row r="15" spans="1:12" ht="24.9" customHeight="1" x14ac:dyDescent="0.3">
      <c r="A15" s="4" t="s">
        <v>17</v>
      </c>
      <c r="B15" s="3">
        <f>_xll.DBRW($F$1,$F15,$F$2,B$5)</f>
        <v>-2117</v>
      </c>
      <c r="C15" s="3" t="str">
        <f>_xll.DBRW($F$1,$F15,$F$2,C$5)</f>
        <v>Overdue</v>
      </c>
      <c r="D15" s="3"/>
      <c r="F15" s="27" t="str">
        <f>_xll.DBRA("24retail:task",A15,"caption_default")</f>
        <v>Review IS and BS Impact</v>
      </c>
      <c r="G15" s="19"/>
      <c r="H15" s="25" t="str">
        <f>_xll.DBRW($F$1,$A15,$F$2,H$5)</f>
        <v>Not Started</v>
      </c>
      <c r="I15" s="26" t="str">
        <f>_xll.DBRW($F$1,$A15,$F$2,I$5)</f>
        <v>2013-12-15</v>
      </c>
      <c r="J15" s="50" t="str">
        <f>_xll.DBRW($F$1,$A15,$F$2,J$5)</f>
        <v/>
      </c>
      <c r="K15" s="50" t="e">
        <f>_xll.DBRW($F$1,$A15,$F$2,K$5)</f>
        <v>#VALUE!</v>
      </c>
      <c r="L15" s="50" t="e">
        <f>_xll.DBRW($F$1,$A15,$F$2,L$5)</f>
        <v>#VALUE!</v>
      </c>
    </row>
    <row r="16" spans="1:12" ht="24.9" customHeight="1" x14ac:dyDescent="0.3">
      <c r="A16" s="4" t="s">
        <v>18</v>
      </c>
      <c r="B16" s="3">
        <f>_xll.DBRW($F$1,$F16,$F$2,B$5)</f>
        <v>0</v>
      </c>
      <c r="C16" s="3" t="str">
        <f>_xll.DBRW($F$1,$F16,$F$2,C$5)</f>
        <v/>
      </c>
      <c r="D16" s="3"/>
      <c r="F16" s="16" t="str">
        <f>_xll.DBRA("24retail:task",A16,"caption_default")</f>
        <v>OPEX</v>
      </c>
      <c r="G16" s="18"/>
      <c r="H16" s="15" t="str">
        <f>_xll.DBRW($F$1,$A16,$F$2,H$5)</f>
        <v>Complete</v>
      </c>
      <c r="I16" s="17" t="str">
        <f>_xll.DBRW($F$1,$A16,$F$2,I$5)</f>
        <v/>
      </c>
      <c r="J16" s="51" t="str">
        <f>_xll.DBRW($F$1,$A16,$F$2,J$5)</f>
        <v/>
      </c>
      <c r="K16" s="51" t="e">
        <f>_xll.DBRW($F$1,$A16,$F$2,K$5)</f>
        <v>#VALUE!</v>
      </c>
      <c r="L16" s="51" t="e">
        <f>_xll.DBRW($F$1,$A16,$F$2,L$5)</f>
        <v>#VALUE!</v>
      </c>
    </row>
    <row r="17" spans="1:12" ht="24.9" customHeight="1" x14ac:dyDescent="0.3">
      <c r="A17" s="4" t="s">
        <v>19</v>
      </c>
      <c r="B17" s="3">
        <f>_xll.DBRW($F$1,$F17,$F$2,B$5)</f>
        <v>-2117</v>
      </c>
      <c r="C17" s="3" t="str">
        <f>_xll.DBRW($F$1,$F17,$F$2,C$5)</f>
        <v/>
      </c>
      <c r="D17" s="3"/>
      <c r="F17" s="27" t="str">
        <f>_xll.DBRA("24retail:task",A17,"caption_default")</f>
        <v>Plan Marketing expense</v>
      </c>
      <c r="G17" s="19"/>
      <c r="H17" s="25" t="str">
        <f>_xll.DBRW($F$1,$A17,$F$2,H$5)</f>
        <v>Complete</v>
      </c>
      <c r="I17" s="26" t="str">
        <f>_xll.DBRW($F$1,$A17,$F$2,I$5)</f>
        <v>2013-12-15</v>
      </c>
      <c r="J17" s="50" t="str">
        <f>_xll.DBRW($F$1,$A17,$F$2,J$5)</f>
        <v/>
      </c>
      <c r="K17" s="50" t="e">
        <f>_xll.DBRW($F$1,$A17,$F$2,K$5)</f>
        <v>#VALUE!</v>
      </c>
      <c r="L17" s="50" t="e">
        <f>_xll.DBRW($F$1,$A17,$F$2,L$5)</f>
        <v>#VALUE!</v>
      </c>
    </row>
    <row r="18" spans="1:12" ht="24.9" customHeight="1" x14ac:dyDescent="0.3">
      <c r="A18" s="4" t="s">
        <v>20</v>
      </c>
      <c r="B18" s="3">
        <f>_xll.DBRW($F$1,$F18,$F$2,B$5)</f>
        <v>-2117</v>
      </c>
      <c r="C18" s="3" t="str">
        <f>_xll.DBRW($F$1,$F18,$F$2,C$5)</f>
        <v/>
      </c>
      <c r="D18" s="3"/>
      <c r="F18" s="27" t="str">
        <f>_xll.DBRA("24retail:task",A18,"caption_default")</f>
        <v>Plan Phased costs</v>
      </c>
      <c r="G18" s="19"/>
      <c r="H18" s="25" t="str">
        <f>_xll.DBRW($F$1,$A18,$F$2,H$5)</f>
        <v>Complete</v>
      </c>
      <c r="I18" s="26" t="str">
        <f>_xll.DBRW($F$1,$A18,$F$2,I$5)</f>
        <v>2013-12-15</v>
      </c>
      <c r="J18" s="50" t="str">
        <f>_xll.DBRW($F$1,$A18,$F$2,J$5)</f>
        <v/>
      </c>
      <c r="K18" s="50" t="e">
        <f>_xll.DBRW($F$1,$A18,$F$2,K$5)</f>
        <v>#VALUE!</v>
      </c>
      <c r="L18" s="50" t="e">
        <f>_xll.DBRW($F$1,$A18,$F$2,L$5)</f>
        <v>#VALUE!</v>
      </c>
    </row>
    <row r="19" spans="1:12" ht="24.9" customHeight="1" x14ac:dyDescent="0.3">
      <c r="A19" s="4" t="s">
        <v>21</v>
      </c>
      <c r="B19" s="3">
        <f>_xll.DBRW($F$1,$F19,$F$2,B$5)</f>
        <v>0</v>
      </c>
      <c r="C19" s="3" t="str">
        <f>_xll.DBRW($F$1,$F19,$F$2,C$5)</f>
        <v/>
      </c>
      <c r="D19" s="3"/>
      <c r="F19" s="16" t="str">
        <f>_xll.DBRA("24retail:task",A19,"caption_default")</f>
        <v>Income Statement</v>
      </c>
      <c r="G19" s="18"/>
      <c r="H19" s="15" t="str">
        <f>_xll.DBRW($F$1,$A19,$F$2,H$5)</f>
        <v>In Progress</v>
      </c>
      <c r="I19" s="17" t="str">
        <f>_xll.DBRW($F$1,$A19,$F$2,I$5)</f>
        <v/>
      </c>
      <c r="J19" s="52" t="str">
        <f>_xll.DBRW($F$1,$A19,$F$2,J$5)</f>
        <v/>
      </c>
      <c r="K19" s="52" t="e">
        <f>_xll.DBRW($F$1,$A19,$F$2,K$5)</f>
        <v>#VALUE!</v>
      </c>
      <c r="L19" s="52" t="e">
        <f>_xll.DBRW($F$1,$A19,$F$2,L$5)</f>
        <v>#VALUE!</v>
      </c>
    </row>
    <row r="20" spans="1:12" ht="24.9" customHeight="1" x14ac:dyDescent="0.3">
      <c r="A20" s="4" t="s">
        <v>22</v>
      </c>
      <c r="B20" s="3">
        <f>_xll.DBRW($F$1,$F20,$F$2,B$5)</f>
        <v>-2117</v>
      </c>
      <c r="C20" s="3" t="str">
        <f>_xll.DBRW($F$1,$F20,$F$2,C$5)</f>
        <v/>
      </c>
      <c r="D20" s="3"/>
      <c r="F20" s="27" t="str">
        <f>_xll.DBRA("24retail:task",A20,"caption_default")</f>
        <v>Review Allocations</v>
      </c>
      <c r="G20" s="19"/>
      <c r="H20" s="25" t="str">
        <f>_xll.DBRW($F$1,$A20,$F$2,H$5)</f>
        <v>Complete</v>
      </c>
      <c r="I20" s="26" t="str">
        <f>_xll.DBRW($F$1,$A20,$F$2,I$5)</f>
        <v>2013-12-15</v>
      </c>
      <c r="J20" s="50" t="str">
        <f>_xll.DBRW($F$1,$A20,$F$2,J$5)</f>
        <v/>
      </c>
      <c r="K20" s="50" t="e">
        <f>_xll.DBRW($F$1,$A20,$F$2,K$5)</f>
        <v>#VALUE!</v>
      </c>
      <c r="L20" s="50" t="e">
        <f>_xll.DBRW($F$1,$A20,$F$2,L$5)</f>
        <v>#VALUE!</v>
      </c>
    </row>
    <row r="21" spans="1:12" ht="24.9" customHeight="1" x14ac:dyDescent="0.3">
      <c r="A21" s="4" t="s">
        <v>23</v>
      </c>
      <c r="B21" s="3">
        <f>_xll.DBRW($F$1,$F21,$F$2,B$5)</f>
        <v>-2117</v>
      </c>
      <c r="C21" s="3" t="str">
        <f>_xll.DBRW($F$1,$F21,$F$2,C$5)</f>
        <v>Overdue</v>
      </c>
      <c r="D21" s="3"/>
      <c r="F21" s="27" t="str">
        <f>_xll.DBRA("24retail:task",A21,"caption_default")</f>
        <v>Update Forecast</v>
      </c>
      <c r="G21" s="19"/>
      <c r="H21" s="25" t="str">
        <f>_xll.DBRW($F$1,$A21,$F$2,H$5)</f>
        <v>Not Started</v>
      </c>
      <c r="I21" s="26" t="str">
        <f>_xll.DBRW($F$1,$A21,$F$2,I$5)</f>
        <v>2013-12-15</v>
      </c>
      <c r="J21" s="50" t="str">
        <f>_xll.DBRW($F$1,$A21,$F$2,J$5)</f>
        <v/>
      </c>
      <c r="K21" s="50" t="e">
        <f>_xll.DBRW($F$1,$A21,$F$2,K$5)</f>
        <v>#VALUE!</v>
      </c>
      <c r="L21" s="50" t="e">
        <f>_xll.DBRW($F$1,$A21,$F$2,L$5)</f>
        <v>#VALUE!</v>
      </c>
    </row>
    <row r="22" spans="1:12" ht="24.9" customHeight="1" x14ac:dyDescent="0.3">
      <c r="A22" s="4" t="s">
        <v>24</v>
      </c>
      <c r="B22" s="3">
        <f>_xll.DBRW($F$1,$F22,$F$2,B$5)</f>
        <v>-2117</v>
      </c>
      <c r="C22" s="3" t="str">
        <f>_xll.DBRW($F$1,$F22,$F$2,C$5)</f>
        <v>Overdue</v>
      </c>
      <c r="D22" s="3"/>
      <c r="F22" s="27" t="str">
        <f>_xll.DBRA("24retail:task",A22,"caption_default")</f>
        <v>Review Exchange Differences</v>
      </c>
      <c r="G22" s="19"/>
      <c r="H22" s="25" t="str">
        <f>_xll.DBRW($F$1,$A22,$F$2,H$5)</f>
        <v>Not Started</v>
      </c>
      <c r="I22" s="26" t="str">
        <f>_xll.DBRW($F$1,$A22,$F$2,I$5)</f>
        <v>2013-12-15</v>
      </c>
      <c r="J22" s="50" t="str">
        <f>_xll.DBRW($F$1,$A22,$F$2,J$5)</f>
        <v/>
      </c>
      <c r="K22" s="50" t="e">
        <f>_xll.DBRW($F$1,$A22,$F$2,K$5)</f>
        <v>#VALUE!</v>
      </c>
      <c r="L22" s="50" t="e">
        <f>_xll.DBRW($F$1,$A22,$F$2,L$5)</f>
        <v>#VALUE!</v>
      </c>
    </row>
    <row r="23" spans="1:12" ht="24.9" customHeight="1" x14ac:dyDescent="0.3">
      <c r="A23" s="4" t="s">
        <v>25</v>
      </c>
      <c r="B23" s="3">
        <f>_xll.DBRW($F$1,$F23,$F$2,B$5)</f>
        <v>-2117</v>
      </c>
      <c r="C23" s="3" t="str">
        <f>_xll.DBRW($F$1,$F23,$F$2,C$5)</f>
        <v/>
      </c>
      <c r="D23" s="3"/>
      <c r="F23" s="27" t="str">
        <f>_xll.DBRA("24retail:task",A23,"caption_default")</f>
        <v>Review Final P&amp;L</v>
      </c>
      <c r="G23" s="19"/>
      <c r="H23" s="25" t="str">
        <f>_xll.DBRW($F$1,$A23,$F$2,H$5)</f>
        <v>Complete</v>
      </c>
      <c r="I23" s="26" t="str">
        <f>_xll.DBRW($F$1,$A23,$F$2,I$5)</f>
        <v>2013-12-15</v>
      </c>
      <c r="J23" s="50" t="str">
        <f>_xll.DBRW($F$1,$A23,$F$2,J$5)</f>
        <v/>
      </c>
      <c r="K23" s="50" t="e">
        <f>_xll.DBRW($F$1,$A23,$F$2,K$5)</f>
        <v>#VALUE!</v>
      </c>
      <c r="L23" s="50" t="e">
        <f>_xll.DBRW($F$1,$A23,$F$2,L$5)</f>
        <v>#VALUE!</v>
      </c>
    </row>
    <row r="24" spans="1:12" ht="20.100000000000001" customHeight="1" x14ac:dyDescent="0.3">
      <c r="G24" s="20"/>
    </row>
    <row r="25" spans="1:12" ht="20.100000000000001" customHeight="1" x14ac:dyDescent="0.3"/>
    <row r="26" spans="1:12" ht="20.100000000000001" customHeight="1" x14ac:dyDescent="0.3"/>
  </sheetData>
  <mergeCells count="18">
    <mergeCell ref="J14:L14"/>
    <mergeCell ref="J6:L6"/>
    <mergeCell ref="J7:L7"/>
    <mergeCell ref="J8:L8"/>
    <mergeCell ref="J9:L9"/>
    <mergeCell ref="J10:L10"/>
    <mergeCell ref="J11:L11"/>
    <mergeCell ref="J12:L12"/>
    <mergeCell ref="J13:L13"/>
    <mergeCell ref="J21:L21"/>
    <mergeCell ref="J22:L22"/>
    <mergeCell ref="J23:L23"/>
    <mergeCell ref="J15:L15"/>
    <mergeCell ref="J16:L16"/>
    <mergeCell ref="J17:L17"/>
    <mergeCell ref="J18:L18"/>
    <mergeCell ref="J19:L19"/>
    <mergeCell ref="J20:L20"/>
  </mergeCells>
  <conditionalFormatting sqref="I6:I23">
    <cfRule type="expression" dxfId="9" priority="2">
      <formula>$C6="overdue"</formula>
    </cfRule>
  </conditionalFormatting>
  <conditionalFormatting sqref="H6:H23">
    <cfRule type="expression" dxfId="8" priority="6">
      <formula>H6="Not Started"</formula>
    </cfRule>
    <cfRule type="expression" dxfId="7" priority="7">
      <formula>H6="Complete"</formula>
    </cfRule>
    <cfRule type="expression" dxfId="6" priority="8">
      <formula>H6="In Progress"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TIButton14">
          <controlPr defaultSize="0" print="0" autoLine="0" r:id="rId5">
            <anchor moveWithCells="1">
              <from>
                <xdr:col>6</xdr:col>
                <xdr:colOff>30480</xdr:colOff>
                <xdr:row>22</xdr:row>
                <xdr:rowOff>38100</xdr:rowOff>
              </from>
              <to>
                <xdr:col>7</xdr:col>
                <xdr:colOff>121920</xdr:colOff>
                <xdr:row>23</xdr:row>
                <xdr:rowOff>45720</xdr:rowOff>
              </to>
            </anchor>
          </controlPr>
        </control>
      </mc:Choice>
      <mc:Fallback>
        <control shapeId="3086" r:id="rId4" name="TIButton14"/>
      </mc:Fallback>
    </mc:AlternateContent>
    <mc:AlternateContent xmlns:mc="http://schemas.openxmlformats.org/markup-compatibility/2006">
      <mc:Choice Requires="x14">
        <control shapeId="3085" r:id="rId6" name="TIButton13">
          <controlPr defaultSize="0" print="0" autoLine="0" r:id="rId7">
            <anchor moveWithCells="1">
              <from>
                <xdr:col>6</xdr:col>
                <xdr:colOff>22860</xdr:colOff>
                <xdr:row>21</xdr:row>
                <xdr:rowOff>7620</xdr:rowOff>
              </from>
              <to>
                <xdr:col>7</xdr:col>
                <xdr:colOff>114300</xdr:colOff>
                <xdr:row>22</xdr:row>
                <xdr:rowOff>15240</xdr:rowOff>
              </to>
            </anchor>
          </controlPr>
        </control>
      </mc:Choice>
      <mc:Fallback>
        <control shapeId="3085" r:id="rId6" name="TIButton13"/>
      </mc:Fallback>
    </mc:AlternateContent>
    <mc:AlternateContent xmlns:mc="http://schemas.openxmlformats.org/markup-compatibility/2006">
      <mc:Choice Requires="x14">
        <control shapeId="3084" r:id="rId8" name="TIButton12">
          <controlPr defaultSize="0" print="0" autoLine="0" r:id="rId9">
            <anchor moveWithCells="1">
              <from>
                <xdr:col>6</xdr:col>
                <xdr:colOff>22860</xdr:colOff>
                <xdr:row>20</xdr:row>
                <xdr:rowOff>0</xdr:rowOff>
              </from>
              <to>
                <xdr:col>7</xdr:col>
                <xdr:colOff>114300</xdr:colOff>
                <xdr:row>21</xdr:row>
                <xdr:rowOff>7620</xdr:rowOff>
              </to>
            </anchor>
          </controlPr>
        </control>
      </mc:Choice>
      <mc:Fallback>
        <control shapeId="3084" r:id="rId8" name="TIButton12"/>
      </mc:Fallback>
    </mc:AlternateContent>
    <mc:AlternateContent xmlns:mc="http://schemas.openxmlformats.org/markup-compatibility/2006">
      <mc:Choice Requires="x14">
        <control shapeId="3083" r:id="rId10" name="TIButton11">
          <controlPr defaultSize="0" print="0" autoLine="0" r:id="rId11">
            <anchor moveWithCells="1">
              <from>
                <xdr:col>6</xdr:col>
                <xdr:colOff>30480</xdr:colOff>
                <xdr:row>17</xdr:row>
                <xdr:rowOff>30480</xdr:rowOff>
              </from>
              <to>
                <xdr:col>7</xdr:col>
                <xdr:colOff>121920</xdr:colOff>
                <xdr:row>18</xdr:row>
                <xdr:rowOff>38100</xdr:rowOff>
              </to>
            </anchor>
          </controlPr>
        </control>
      </mc:Choice>
      <mc:Fallback>
        <control shapeId="3083" r:id="rId10" name="TIButton11"/>
      </mc:Fallback>
    </mc:AlternateContent>
    <mc:AlternateContent xmlns:mc="http://schemas.openxmlformats.org/markup-compatibility/2006">
      <mc:Choice Requires="x14">
        <control shapeId="3082" r:id="rId12" name="TIButton10">
          <controlPr defaultSize="0" print="0" autoLine="0" r:id="rId13">
            <anchor moveWithCells="1">
              <from>
                <xdr:col>6</xdr:col>
                <xdr:colOff>30480</xdr:colOff>
                <xdr:row>14</xdr:row>
                <xdr:rowOff>0</xdr:rowOff>
              </from>
              <to>
                <xdr:col>7</xdr:col>
                <xdr:colOff>121920</xdr:colOff>
                <xdr:row>15</xdr:row>
                <xdr:rowOff>7620</xdr:rowOff>
              </to>
            </anchor>
          </controlPr>
        </control>
      </mc:Choice>
      <mc:Fallback>
        <control shapeId="3082" r:id="rId12" name="TIButton10"/>
      </mc:Fallback>
    </mc:AlternateContent>
    <mc:AlternateContent xmlns:mc="http://schemas.openxmlformats.org/markup-compatibility/2006">
      <mc:Choice Requires="x14">
        <control shapeId="3081" r:id="rId14" name="TIButton9">
          <controlPr defaultSize="0" print="0" autoLine="0" r:id="rId15">
            <anchor moveWithCells="1">
              <from>
                <xdr:col>6</xdr:col>
                <xdr:colOff>45720</xdr:colOff>
                <xdr:row>11</xdr:row>
                <xdr:rowOff>45720</xdr:rowOff>
              </from>
              <to>
                <xdr:col>7</xdr:col>
                <xdr:colOff>137160</xdr:colOff>
                <xdr:row>12</xdr:row>
                <xdr:rowOff>53340</xdr:rowOff>
              </to>
            </anchor>
          </controlPr>
        </control>
      </mc:Choice>
      <mc:Fallback>
        <control shapeId="3081" r:id="rId14" name="TIButton9"/>
      </mc:Fallback>
    </mc:AlternateContent>
    <mc:AlternateContent xmlns:mc="http://schemas.openxmlformats.org/markup-compatibility/2006">
      <mc:Choice Requires="x14">
        <control shapeId="3080" r:id="rId16" name="TIButton8">
          <controlPr defaultSize="0" print="0" autoLine="0" r:id="rId17">
            <anchor moveWithCells="1">
              <from>
                <xdr:col>6</xdr:col>
                <xdr:colOff>45720</xdr:colOff>
                <xdr:row>10</xdr:row>
                <xdr:rowOff>7620</xdr:rowOff>
              </from>
              <to>
                <xdr:col>7</xdr:col>
                <xdr:colOff>137160</xdr:colOff>
                <xdr:row>11</xdr:row>
                <xdr:rowOff>15240</xdr:rowOff>
              </to>
            </anchor>
          </controlPr>
        </control>
      </mc:Choice>
      <mc:Fallback>
        <control shapeId="3080" r:id="rId16" name="TIButton8"/>
      </mc:Fallback>
    </mc:AlternateContent>
    <mc:AlternateContent xmlns:mc="http://schemas.openxmlformats.org/markup-compatibility/2006">
      <mc:Choice Requires="x14">
        <control shapeId="3078" r:id="rId18" name="TIButton6">
          <controlPr defaultSize="0" print="0" autoLine="0" r:id="rId19">
            <anchor moveWithCells="1">
              <from>
                <xdr:col>6</xdr:col>
                <xdr:colOff>38100</xdr:colOff>
                <xdr:row>8</xdr:row>
                <xdr:rowOff>7620</xdr:rowOff>
              </from>
              <to>
                <xdr:col>7</xdr:col>
                <xdr:colOff>129540</xdr:colOff>
                <xdr:row>9</xdr:row>
                <xdr:rowOff>15240</xdr:rowOff>
              </to>
            </anchor>
          </controlPr>
        </control>
      </mc:Choice>
      <mc:Fallback>
        <control shapeId="3078" r:id="rId18" name="TIButton6"/>
      </mc:Fallback>
    </mc:AlternateContent>
    <mc:AlternateContent xmlns:mc="http://schemas.openxmlformats.org/markup-compatibility/2006">
      <mc:Choice Requires="x14">
        <control shapeId="3077" r:id="rId20" name="TIButton5">
          <controlPr defaultSize="0" print="0" autoLine="0" r:id="rId21">
            <anchor moveWithCells="1">
              <from>
                <xdr:col>6</xdr:col>
                <xdr:colOff>22860</xdr:colOff>
                <xdr:row>19</xdr:row>
                <xdr:rowOff>45720</xdr:rowOff>
              </from>
              <to>
                <xdr:col>7</xdr:col>
                <xdr:colOff>114300</xdr:colOff>
                <xdr:row>20</xdr:row>
                <xdr:rowOff>53340</xdr:rowOff>
              </to>
            </anchor>
          </controlPr>
        </control>
      </mc:Choice>
      <mc:Fallback>
        <control shapeId="3077" r:id="rId20" name="TIButton5"/>
      </mc:Fallback>
    </mc:AlternateContent>
    <mc:AlternateContent xmlns:mc="http://schemas.openxmlformats.org/markup-compatibility/2006">
      <mc:Choice Requires="x14">
        <control shapeId="3076" r:id="rId22" name="TIButton4">
          <controlPr defaultSize="0" print="0" autoLine="0" r:id="rId23">
            <anchor moveWithCells="1">
              <from>
                <xdr:col>6</xdr:col>
                <xdr:colOff>30480</xdr:colOff>
                <xdr:row>16</xdr:row>
                <xdr:rowOff>7620</xdr:rowOff>
              </from>
              <to>
                <xdr:col>7</xdr:col>
                <xdr:colOff>121920</xdr:colOff>
                <xdr:row>17</xdr:row>
                <xdr:rowOff>15240</xdr:rowOff>
              </to>
            </anchor>
          </controlPr>
        </control>
      </mc:Choice>
      <mc:Fallback>
        <control shapeId="3076" r:id="rId22" name="TIButton4"/>
      </mc:Fallback>
    </mc:AlternateContent>
    <mc:AlternateContent xmlns:mc="http://schemas.openxmlformats.org/markup-compatibility/2006">
      <mc:Choice Requires="x14">
        <control shapeId="3075" r:id="rId24" name="TIButton3">
          <controlPr defaultSize="0" print="0" autoLine="0" r:id="rId25">
            <anchor moveWithCells="1">
              <from>
                <xdr:col>6</xdr:col>
                <xdr:colOff>38100</xdr:colOff>
                <xdr:row>13</xdr:row>
                <xdr:rowOff>0</xdr:rowOff>
              </from>
              <to>
                <xdr:col>7</xdr:col>
                <xdr:colOff>129540</xdr:colOff>
                <xdr:row>14</xdr:row>
                <xdr:rowOff>7620</xdr:rowOff>
              </to>
            </anchor>
          </controlPr>
        </control>
      </mc:Choice>
      <mc:Fallback>
        <control shapeId="3075" r:id="rId24" name="TIButton3"/>
      </mc:Fallback>
    </mc:AlternateContent>
    <mc:AlternateContent xmlns:mc="http://schemas.openxmlformats.org/markup-compatibility/2006">
      <mc:Choice Requires="x14">
        <control shapeId="3073" r:id="rId26" name="TIButton1">
          <controlPr defaultSize="0" print="0" autoLine="0" r:id="rId27">
            <anchor moveWithCells="1">
              <from>
                <xdr:col>6</xdr:col>
                <xdr:colOff>30480</xdr:colOff>
                <xdr:row>7</xdr:row>
                <xdr:rowOff>22860</xdr:rowOff>
              </from>
              <to>
                <xdr:col>7</xdr:col>
                <xdr:colOff>121920</xdr:colOff>
                <xdr:row>8</xdr:row>
                <xdr:rowOff>30480</xdr:rowOff>
              </to>
            </anchor>
          </controlPr>
        </control>
      </mc:Choice>
      <mc:Fallback>
        <control shapeId="3073" r:id="rId26" name="TI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1:L36"/>
  <sheetViews>
    <sheetView showGridLines="0" showRowColHeaders="0" topLeftCell="A3" workbookViewId="0">
      <selection activeCell="A3" sqref="A3"/>
    </sheetView>
  </sheetViews>
  <sheetFormatPr defaultRowHeight="14.4" x14ac:dyDescent="0.3"/>
  <cols>
    <col min="1" max="1" width="1.44140625" customWidth="1"/>
    <col min="3" max="3" width="13.6640625" customWidth="1"/>
    <col min="5" max="5" width="12.88671875" customWidth="1"/>
    <col min="6" max="6" width="0" hidden="1" customWidth="1"/>
    <col min="7" max="7" width="5.109375" customWidth="1"/>
    <col min="8" max="8" width="18.88671875" customWidth="1"/>
    <col min="9" max="10" width="10.6640625" customWidth="1"/>
    <col min="11" max="11" width="16.33203125" customWidth="1"/>
    <col min="12" max="12" width="0" hidden="1" customWidth="1"/>
  </cols>
  <sheetData>
    <row r="1" spans="1:12" hidden="1" x14ac:dyDescent="0.3"/>
    <row r="2" spans="1:12" hidden="1" x14ac:dyDescent="0.3"/>
    <row r="3" spans="1:12" ht="26.25" customHeight="1" collapsed="1" x14ac:dyDescent="0.3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12" s="6" customFormat="1" ht="39" customHeight="1" x14ac:dyDescent="0.3">
      <c r="A4" s="7"/>
      <c r="B4" s="8"/>
      <c r="C4" s="9"/>
      <c r="D4" s="9"/>
      <c r="E4" s="9"/>
      <c r="F4" s="9"/>
      <c r="G4" s="7"/>
      <c r="H4" s="7"/>
      <c r="I4" s="7"/>
    </row>
    <row r="5" spans="1:12" s="6" customFormat="1" ht="17.25" customHeight="1" x14ac:dyDescent="0.3">
      <c r="A5" s="7"/>
      <c r="B5" s="67" t="s">
        <v>40</v>
      </c>
      <c r="C5" s="68"/>
      <c r="D5" s="68"/>
      <c r="E5" s="68"/>
      <c r="F5" s="34"/>
      <c r="G5" s="7"/>
      <c r="H5" s="58" t="s">
        <v>41</v>
      </c>
      <c r="I5" s="59"/>
      <c r="J5" s="59"/>
      <c r="K5" s="59"/>
    </row>
    <row r="6" spans="1:12" ht="16.5" hidden="1" customHeight="1" x14ac:dyDescent="0.3">
      <c r="B6" s="28"/>
      <c r="C6" s="28"/>
      <c r="D6" s="29"/>
      <c r="E6" s="29"/>
      <c r="F6" s="1"/>
    </row>
    <row r="7" spans="1:12" ht="12" hidden="1" customHeight="1" x14ac:dyDescent="0.3">
      <c r="B7" s="29" t="str">
        <f>_xll.VIEW("24retail:Task Workflow","!",$B$8,"!")</f>
        <v>24retail:Task Workflow</v>
      </c>
      <c r="C7" s="29"/>
      <c r="D7" s="29"/>
      <c r="E7" s="29"/>
      <c r="F7" s="22"/>
      <c r="G7" s="3"/>
      <c r="H7" s="3"/>
      <c r="I7" s="3" t="s">
        <v>44</v>
      </c>
      <c r="J7" s="3" t="s">
        <v>44</v>
      </c>
      <c r="K7" s="3" t="s">
        <v>44</v>
      </c>
    </row>
    <row r="8" spans="1:12" ht="12" hidden="1" customHeight="1" x14ac:dyDescent="0.3">
      <c r="B8" s="29" t="str">
        <f>_xll.SUBNM("24retail:organization","","101","Caption_Default")</f>
        <v>101</v>
      </c>
      <c r="C8" s="29"/>
      <c r="D8" s="29"/>
      <c r="E8" s="29"/>
      <c r="F8" s="22"/>
      <c r="G8" s="3"/>
      <c r="H8" s="3"/>
      <c r="I8" s="3" t="s">
        <v>26</v>
      </c>
      <c r="J8" s="3" t="s">
        <v>26</v>
      </c>
      <c r="K8" s="3" t="s">
        <v>26</v>
      </c>
    </row>
    <row r="9" spans="1:12" ht="12" hidden="1" customHeight="1" x14ac:dyDescent="0.3">
      <c r="B9" s="29"/>
      <c r="C9" s="29"/>
      <c r="D9" s="29"/>
      <c r="E9" s="29"/>
      <c r="F9" s="22"/>
      <c r="G9" s="3"/>
      <c r="H9" s="3"/>
      <c r="I9" s="3" t="s">
        <v>27</v>
      </c>
      <c r="J9" s="3" t="s">
        <v>27</v>
      </c>
      <c r="K9" s="3" t="s">
        <v>27</v>
      </c>
    </row>
    <row r="10" spans="1:12" ht="12" hidden="1" customHeight="1" x14ac:dyDescent="0.3">
      <c r="B10" s="29"/>
      <c r="C10" s="29"/>
      <c r="D10" s="29"/>
      <c r="E10" s="29"/>
      <c r="F10" s="22"/>
      <c r="G10" s="3"/>
      <c r="H10" s="3"/>
      <c r="I10" s="3" t="str">
        <f>_xll.DBRA("24retail:year",I$9,"caption_default")</f>
        <v>2015</v>
      </c>
      <c r="J10" s="3" t="str">
        <f>_xll.DBRA("24retail:year",J$9,"caption_default")</f>
        <v>2015</v>
      </c>
      <c r="K10" s="3" t="str">
        <f>_xll.DBRA("24retail:year",K$9,"caption_default")</f>
        <v>2015</v>
      </c>
    </row>
    <row r="11" spans="1:12" ht="12" hidden="1" customHeight="1" x14ac:dyDescent="0.3">
      <c r="B11" s="29"/>
      <c r="C11" s="29"/>
      <c r="D11" s="29"/>
      <c r="E11" s="29"/>
      <c r="F11" s="22"/>
      <c r="G11" s="3"/>
      <c r="H11" s="3"/>
      <c r="I11" s="3" t="s">
        <v>28</v>
      </c>
      <c r="J11" s="3" t="s">
        <v>28</v>
      </c>
      <c r="K11" s="3" t="s">
        <v>28</v>
      </c>
    </row>
    <row r="12" spans="1:12" ht="12" hidden="1" customHeight="1" x14ac:dyDescent="0.3">
      <c r="B12" s="29"/>
      <c r="C12" s="29"/>
      <c r="D12" s="29"/>
      <c r="E12" s="29"/>
      <c r="F12" s="22"/>
      <c r="G12" s="3"/>
      <c r="H12" s="3"/>
      <c r="I12" s="3" t="s">
        <v>29</v>
      </c>
      <c r="J12" s="3" t="str">
        <f>_xll.SUBNM("24retail:Version","Current",_xll.DBR("24retail:Calendar","Current Version","String"),"Caption_Default")</f>
        <v>Version1</v>
      </c>
      <c r="K12" s="3" t="s">
        <v>30</v>
      </c>
    </row>
    <row r="13" spans="1:12" ht="15" customHeight="1" thickBot="1" x14ac:dyDescent="0.35">
      <c r="B13" s="60">
        <v>7</v>
      </c>
      <c r="C13" s="61"/>
      <c r="D13" s="62">
        <v>5</v>
      </c>
      <c r="E13" s="63"/>
      <c r="F13" s="35"/>
      <c r="H13" s="47"/>
      <c r="I13" s="47" t="str">
        <f>I$12&amp;" "&amp;I10</f>
        <v>Target 2015</v>
      </c>
      <c r="J13" s="47" t="str">
        <f>J$12&amp;" "&amp;$J$10</f>
        <v>Version1 2015</v>
      </c>
      <c r="K13" s="47" t="s">
        <v>30</v>
      </c>
    </row>
    <row r="14" spans="1:12" ht="15" customHeight="1" thickTop="1" thickBot="1" x14ac:dyDescent="0.35">
      <c r="B14" s="61"/>
      <c r="C14" s="61"/>
      <c r="D14" s="63"/>
      <c r="E14" s="63"/>
      <c r="F14" s="36"/>
      <c r="H14" s="11" t="s">
        <v>32</v>
      </c>
      <c r="I14" s="12">
        <f>_xll.DBRW(I$7,I$8,$B$8,I$10,I$11,$H14,I$12)</f>
        <v>9300</v>
      </c>
      <c r="J14" s="12">
        <f>_xll.DBRW(J$7,J$8,$B$8,J$10,J$11,$H14,J$12)</f>
        <v>139720379.80177402</v>
      </c>
      <c r="K14" s="40">
        <f>+J14-I14</f>
        <v>139711079.80177402</v>
      </c>
      <c r="L14">
        <f>IF($K14&lt;0,1,0)</f>
        <v>0</v>
      </c>
    </row>
    <row r="15" spans="1:12" ht="15" thickBot="1" x14ac:dyDescent="0.35">
      <c r="B15" s="64" t="s">
        <v>31</v>
      </c>
      <c r="C15" s="65"/>
      <c r="D15" s="66" t="s">
        <v>43</v>
      </c>
      <c r="E15" s="65"/>
      <c r="F15" s="37"/>
      <c r="H15" s="11" t="s">
        <v>33</v>
      </c>
      <c r="I15" s="12">
        <f>_xll.DBRW(I$7,I$8,$B$8,I$10,I$11,$H15,I$12)</f>
        <v>0</v>
      </c>
      <c r="J15" s="12">
        <f>_xll.DBRW(J$7,J$8,$B$8,J$10,J$11,$H15,J$12)</f>
        <v>201611.41666666669</v>
      </c>
      <c r="K15" s="38">
        <f>+I15-J15</f>
        <v>-201611.41666666669</v>
      </c>
      <c r="L15">
        <f t="shared" ref="L15:L18" si="0">IF($K15&lt;0,1,0)</f>
        <v>1</v>
      </c>
    </row>
    <row r="16" spans="1:12" ht="16.2" thickBot="1" x14ac:dyDescent="0.35">
      <c r="B16" s="30"/>
      <c r="C16" s="30"/>
      <c r="D16" s="29"/>
      <c r="E16" s="29"/>
      <c r="F16" s="22"/>
      <c r="H16" s="11" t="s">
        <v>34</v>
      </c>
      <c r="I16" s="12">
        <f>_xll.DBRW(I$7,I$8,$B$8,I$10,I$11,$H16,I$12)</f>
        <v>0</v>
      </c>
      <c r="J16" s="12">
        <f>_xll.DBRW(J$7,J$8,$B$8,J$10,J$11,$H16,J$12)</f>
        <v>141614.79999999999</v>
      </c>
      <c r="K16" s="38">
        <f t="shared" ref="K16:K17" si="1">+I16-J16</f>
        <v>-141614.79999999999</v>
      </c>
      <c r="L16">
        <f t="shared" si="0"/>
        <v>1</v>
      </c>
    </row>
    <row r="17" spans="2:12" ht="15" thickBot="1" x14ac:dyDescent="0.35">
      <c r="B17" s="5"/>
      <c r="C17" s="5"/>
      <c r="H17" s="11" t="s">
        <v>35</v>
      </c>
      <c r="I17" s="12">
        <f>_xll.DBRW(I$7,I$8,$B$8,I$10,I$11,$H17,I$12)</f>
        <v>0</v>
      </c>
      <c r="J17" s="12">
        <f>_xll.DBRW(J$7,J$8,$B$8,J$10,J$11,$H17,J$12)</f>
        <v>87500</v>
      </c>
      <c r="K17" s="38">
        <f t="shared" si="1"/>
        <v>-87500</v>
      </c>
      <c r="L17">
        <f t="shared" si="0"/>
        <v>1</v>
      </c>
    </row>
    <row r="18" spans="2:12" x14ac:dyDescent="0.3">
      <c r="B18" s="5"/>
      <c r="C18" s="5"/>
      <c r="H18" s="13" t="s">
        <v>36</v>
      </c>
      <c r="I18" s="12">
        <f>_xll.DBRW(I$7,I$8,$B$8,I$10,I$11,$H18,I$12)</f>
        <v>9300</v>
      </c>
      <c r="J18" s="12">
        <f>_xll.DBRW(J$7,J$8,$B$8,J$10,J$11,$H18,J$12)</f>
        <v>138858612.82510731</v>
      </c>
      <c r="K18" s="39">
        <f>+J18-I18</f>
        <v>138849312.82510731</v>
      </c>
      <c r="L18">
        <f t="shared" si="0"/>
        <v>0</v>
      </c>
    </row>
    <row r="19" spans="2:12" x14ac:dyDescent="0.3">
      <c r="B19" s="5"/>
      <c r="C19" s="5"/>
      <c r="H19" s="5"/>
      <c r="I19" s="5"/>
      <c r="J19" s="5"/>
      <c r="K19" s="5"/>
    </row>
    <row r="20" spans="2:12" x14ac:dyDescent="0.3">
      <c r="B20" s="5"/>
      <c r="C20" s="5"/>
      <c r="H20" s="54" t="s">
        <v>42</v>
      </c>
      <c r="I20" s="56">
        <f>SUM($L14:$L18)</f>
        <v>3</v>
      </c>
      <c r="J20" s="5"/>
      <c r="K20" s="5"/>
    </row>
    <row r="21" spans="2:12" x14ac:dyDescent="0.3">
      <c r="B21" s="5"/>
      <c r="C21" s="5"/>
      <c r="H21" s="55"/>
      <c r="I21" s="57"/>
      <c r="J21" s="5"/>
      <c r="K21" s="5"/>
    </row>
    <row r="22" spans="2:12" x14ac:dyDescent="0.3">
      <c r="B22" s="32" t="s">
        <v>31</v>
      </c>
      <c r="C22" s="32"/>
      <c r="D22" s="33">
        <f>_xll.DBRW("24retail:task workflow","All Tasks",$B$8,"Complete")</f>
        <v>7</v>
      </c>
      <c r="H22" s="5"/>
      <c r="I22" s="5"/>
      <c r="J22" s="5"/>
      <c r="K22" s="5"/>
    </row>
    <row r="23" spans="2:12" x14ac:dyDescent="0.3">
      <c r="B23" s="32" t="s">
        <v>43</v>
      </c>
      <c r="C23" s="32"/>
      <c r="D23" s="33">
        <f>_xll.DBRW("24retail:task workflow","All Tasks",$B$8,"active")-_xll.DBRW("24retail:task workflow","All Tasks",$B$8,"complete")</f>
        <v>5</v>
      </c>
      <c r="H23" s="5"/>
      <c r="I23" s="5"/>
      <c r="J23" s="5"/>
      <c r="K23" s="5"/>
    </row>
    <row r="24" spans="2:12" x14ac:dyDescent="0.3">
      <c r="B24" s="5"/>
      <c r="C24" s="5"/>
      <c r="H24" s="5"/>
      <c r="I24" s="5"/>
      <c r="J24" s="5"/>
      <c r="K24" s="5"/>
    </row>
    <row r="36" spans="7:8" ht="17.399999999999999" x14ac:dyDescent="0.3">
      <c r="G36" s="22"/>
      <c r="H36" s="31"/>
    </row>
  </sheetData>
  <mergeCells count="8">
    <mergeCell ref="H20:H21"/>
    <mergeCell ref="I20:I21"/>
    <mergeCell ref="H5:K5"/>
    <mergeCell ref="B13:C14"/>
    <mergeCell ref="D13:E14"/>
    <mergeCell ref="B15:C15"/>
    <mergeCell ref="D15:E15"/>
    <mergeCell ref="B5:E5"/>
  </mergeCells>
  <conditionalFormatting sqref="K14:K18">
    <cfRule type="cellIs" dxfId="5" priority="5" operator="greaterThanOrEqual">
      <formula>0</formula>
    </cfRule>
    <cfRule type="cellIs" dxfId="4" priority="6" operator="lessThan">
      <formula>0</formula>
    </cfRule>
  </conditionalFormatting>
  <conditionalFormatting sqref="D13">
    <cfRule type="cellIs" dxfId="3" priority="4" operator="greaterThan">
      <formula>0</formula>
    </cfRule>
  </conditionalFormatting>
  <conditionalFormatting sqref="I20">
    <cfRule type="cellIs" dxfId="2" priority="2" operator="lessThanOrEqual">
      <formula>0</formula>
    </cfRule>
    <cfRule type="cellIs" dxfId="1" priority="3" operator="greaterThan">
      <formula>0</formula>
    </cfRule>
  </conditionalFormatting>
  <conditionalFormatting sqref="H36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2"/>
  <sheetViews>
    <sheetView workbookViewId="0"/>
  </sheetViews>
  <sheetFormatPr defaultRowHeight="14.4" x14ac:dyDescent="0.3"/>
  <sheetData>
    <row r="1" spans="1:1" x14ac:dyDescent="0.3">
      <c r="A1" t="s">
        <v>37</v>
      </c>
    </row>
    <row r="2" spans="1:1" x14ac:dyDescent="0.3">
      <c r="A2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Instructions</vt:lpstr>
      <vt:lpstr>Tasks</vt:lpstr>
      <vt:lpstr>Status</vt:lpstr>
      <vt:lpstr>{PL}PickLst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ibmuser</dc:creator>
  <cp:lastModifiedBy>Rebecca Hansen</cp:lastModifiedBy>
  <dcterms:created xsi:type="dcterms:W3CDTF">2012-02-01T20:12:49Z</dcterms:created>
  <dcterms:modified xsi:type="dcterms:W3CDTF">2019-10-29T14:13:36Z</dcterms:modified>
</cp:coreProperties>
</file>